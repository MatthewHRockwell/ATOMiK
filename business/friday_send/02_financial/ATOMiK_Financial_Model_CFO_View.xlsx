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Model Map" sheetId="1" state="visible" r:id="rId1"/>
    <sheet name="Use of Funds" sheetId="2" state="visible" r:id="rId2"/>
    <sheet name="Runway &amp; Burn" sheetId="3" state="visible" r:id="rId3"/>
    <sheet name="18-Month Cash Plan" sheetId="4" state="visible" r:id="rId4"/>
    <sheet name="Evaluation Pricing" sheetId="5" state="visible" r:id="rId5"/>
    <sheet name="Evaluation SOW Economics" sheetId="6" state="visible" r:id="rId6"/>
    <sheet name="Revenue Scenario" sheetId="7" state="visible" r:id="rId7"/>
    <sheet name="Milestone Gates" sheetId="8" state="visible" r:id="rId8"/>
    <sheet name="Dilution Sensitivity" sheetId="9" state="visible" r:id="rId9"/>
    <sheet name="Market Context" sheetId="10" state="visible" r:id="rId10"/>
    <sheet name="Cap Table Draft" sheetId="11" state="visible" r:id="rId11"/>
    <sheet name="Unmodeled CFO Needs" sheetId="12" state="visible" r:id="rId12"/>
    <sheet name="Cavea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#,##0;-#,##0;-"/>
  </numFmts>
  <fonts count="20">
    <font>
      <name val="Calibri"/>
      <family val="2"/>
      <color theme="1"/>
      <sz val="11"/>
      <scheme val="minor"/>
    </font>
    <font>
      <name val="Calibri"/>
      <b val="1"/>
      <color rgb="0022D3EE"/>
      <sz val="14"/>
    </font>
    <font>
      <name val="Calibri"/>
      <b val="1"/>
      <color rgb="00F4F8FF"/>
      <sz val="11"/>
    </font>
    <font>
      <name val="Calibri"/>
      <b val="1"/>
      <color rgb="00F4F8FF"/>
      <sz val="10"/>
    </font>
    <font>
      <name val="Calibri"/>
      <color rgb="00F4F8FF"/>
      <sz val="10"/>
    </font>
    <font>
      <name val="Calibri"/>
      <b val="1"/>
      <color rgb="00F59E0B"/>
      <sz val="10"/>
    </font>
    <font>
      <name val="Calibri"/>
      <color rgb="0022C55E"/>
      <sz val="10"/>
    </font>
    <font>
      <name val="Calibri"/>
      <color rgb="0022D3EE"/>
      <sz val="10"/>
    </font>
    <font>
      <name val="Calibri"/>
      <b val="1"/>
      <color rgb="0022D3EE"/>
      <sz val="10"/>
    </font>
    <font>
      <name val="Calibri"/>
      <color rgb="00F59E0B"/>
      <sz val="10"/>
    </font>
    <font>
      <name val="Calibri"/>
      <b val="1"/>
      <color rgb="0022C55E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563C1"/>
      <sz val="10"/>
    </font>
    <font>
      <name val="Calibri"/>
      <color rgb="00008000"/>
      <sz val="10"/>
      <u val="single"/>
    </font>
    <font>
      <b val="1"/>
      <color rgb="00FFFFFF"/>
      <sz val="14"/>
    </font>
    <font>
      <i val="1"/>
      <color rgb="00CBD5E1"/>
    </font>
    <font>
      <b val="1"/>
      <color rgb="00FFFFFF"/>
    </font>
    <font>
      <b val="1"/>
      <color rgb="000F172A"/>
    </font>
  </fonts>
  <fills count="11">
    <fill>
      <patternFill/>
    </fill>
    <fill>
      <patternFill patternType="gray125"/>
    </fill>
    <fill>
      <patternFill patternType="solid">
        <fgColor rgb="00070B12"/>
      </patternFill>
    </fill>
    <fill>
      <patternFill patternType="solid">
        <fgColor rgb="000D1420"/>
      </patternFill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F3F6FA"/>
      </patternFill>
    </fill>
    <fill>
      <patternFill patternType="solid">
        <fgColor rgb="000B1220"/>
      </patternFill>
    </fill>
    <fill>
      <patternFill patternType="solid">
        <fgColor rgb="001D4ED8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left style="thin">
        <color rgb="00233044"/>
      </left>
      <right style="thin">
        <color rgb="00233044"/>
      </right>
      <top style="thin">
        <color rgb="00233044"/>
      </top>
      <bottom style="thin">
        <color rgb="00233044"/>
      </bottom>
    </border>
    <border>
      <left/>
      <right/>
      <top style="thin">
        <color rgb="00233044"/>
      </top>
      <bottom/>
      <diagonal/>
    </border>
    <border>
      <left/>
      <right style="thin">
        <color rgb="00233044"/>
      </right>
      <top style="thin">
        <color rgb="00233044"/>
      </top>
      <bottom/>
      <diagonal/>
    </border>
    <border>
      <left/>
      <right style="thin">
        <color rgb="00233044"/>
      </right>
      <top style="thin">
        <color rgb="00233044"/>
      </top>
      <bottom style="thin">
        <color rgb="00233044"/>
      </bottom>
      <diagonal/>
    </border>
    <border>
      <left/>
      <right/>
      <top style="thin">
        <color rgb="00233044"/>
      </top>
      <bottom style="thin">
        <color rgb="00233044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right" vertical="top" wrapText="1"/>
    </xf>
    <xf numFmtId="165" fontId="7" fillId="4" borderId="1" applyAlignment="1" pivotButton="0" quotePrefix="0" xfId="0">
      <alignment horizontal="right" vertical="top" wrapText="1"/>
    </xf>
    <xf numFmtId="164" fontId="6" fillId="3" borderId="1" applyAlignment="1" pivotButton="0" quotePrefix="0" xfId="0">
      <alignment horizontal="right" vertical="top" wrapText="1"/>
    </xf>
    <xf numFmtId="165" fontId="7" fillId="3" borderId="1" applyAlignment="1" pivotButton="0" quotePrefix="0" xfId="0">
      <alignment horizontal="right" vertical="top" wrapText="1"/>
    </xf>
    <xf numFmtId="0" fontId="8" fillId="2" borderId="1" applyAlignment="1" pivotButton="0" quotePrefix="0" xfId="0">
      <alignment horizontal="left" vertical="top" wrapText="1"/>
    </xf>
    <xf numFmtId="164" fontId="8" fillId="2" borderId="1" applyAlignment="1" pivotButton="0" quotePrefix="0" xfId="0">
      <alignment horizontal="right" vertical="top" wrapText="1"/>
    </xf>
    <xf numFmtId="165" fontId="8" fillId="2" borderId="1" applyAlignment="1" pivotButton="0" quotePrefix="0" xfId="0">
      <alignment horizontal="right" vertical="top" wrapText="1"/>
    </xf>
    <xf numFmtId="164" fontId="9" fillId="4" borderId="1" applyAlignment="1" pivotButton="0" quotePrefix="0" xfId="0">
      <alignment horizontal="right" vertical="top" wrapText="1"/>
    </xf>
    <xf numFmtId="166" fontId="7" fillId="4" borderId="1" applyAlignment="1" pivotButton="0" quotePrefix="0" xfId="0">
      <alignment horizontal="right" vertical="top" wrapText="1"/>
    </xf>
    <xf numFmtId="164" fontId="9" fillId="3" borderId="1" applyAlignment="1" pivotButton="0" quotePrefix="0" xfId="0">
      <alignment horizontal="right" vertical="top" wrapText="1"/>
    </xf>
    <xf numFmtId="166" fontId="7" fillId="3" borderId="1" applyAlignment="1" pivotButton="0" quotePrefix="0" xfId="0">
      <alignment horizontal="right" vertical="top" wrapText="1"/>
    </xf>
    <xf numFmtId="0" fontId="9" fillId="2" borderId="1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right" vertical="top" wrapText="1"/>
    </xf>
    <xf numFmtId="164" fontId="8" fillId="3" borderId="1" applyAlignment="1" pivotButton="0" quotePrefix="0" xfId="0">
      <alignment horizontal="right" vertical="top" wrapText="1"/>
    </xf>
    <xf numFmtId="0" fontId="10" fillId="2" borderId="1" applyAlignment="1" pivotButton="0" quotePrefix="0" xfId="0">
      <alignment horizontal="left" vertical="top" wrapText="1"/>
    </xf>
    <xf numFmtId="164" fontId="10" fillId="2" borderId="1" applyAlignment="1" pivotButton="0" quotePrefix="0" xfId="0">
      <alignment horizontal="right" vertical="top" wrapText="1"/>
    </xf>
    <xf numFmtId="164" fontId="5" fillId="2" borderId="1" applyAlignment="1" pivotButton="0" quotePrefix="0" xfId="0">
      <alignment horizontal="right" vertical="top" wrapText="1"/>
    </xf>
    <xf numFmtId="0" fontId="4" fillId="3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right" vertical="top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1" fillId="6" borderId="6" applyAlignment="1" pivotButton="0" quotePrefix="0" xfId="0">
      <alignment horizontal="center" vertical="top" wrapText="1"/>
    </xf>
    <xf numFmtId="0" fontId="12" fillId="5" borderId="6" applyAlignment="1" pivotButton="0" quotePrefix="0" xfId="0">
      <alignment horizontal="left" vertical="top" wrapText="1"/>
    </xf>
    <xf numFmtId="0" fontId="13" fillId="7" borderId="6" applyAlignment="1" pivotButton="0" quotePrefix="0" xfId="0">
      <alignment horizontal="center" vertical="top" wrapText="1"/>
    </xf>
    <xf numFmtId="0" fontId="13" fillId="7" borderId="6" applyAlignment="1" pivotButton="0" quotePrefix="0" xfId="0">
      <alignment horizontal="left" vertical="top" wrapText="1"/>
    </xf>
    <xf numFmtId="164" fontId="13" fillId="7" borderId="6" applyAlignment="1" pivotButton="0" quotePrefix="0" xfId="0">
      <alignment horizontal="right" vertical="top" wrapText="1"/>
    </xf>
    <xf numFmtId="165" fontId="13" fillId="7" borderId="6" applyAlignment="1" pivotButton="0" quotePrefix="0" xfId="0">
      <alignment horizontal="right" vertical="top" wrapText="1"/>
    </xf>
    <xf numFmtId="164" fontId="14" fillId="5" borderId="6" applyAlignment="1" pivotButton="0" quotePrefix="0" xfId="0">
      <alignment horizontal="right" vertical="top" wrapText="1"/>
    </xf>
    <xf numFmtId="165" fontId="12" fillId="5" borderId="6" applyAlignment="1" pivotButton="0" quotePrefix="0" xfId="0">
      <alignment horizontal="right" vertical="top" wrapText="1"/>
    </xf>
    <xf numFmtId="164" fontId="12" fillId="5" borderId="6" applyAlignment="1" pivotButton="0" quotePrefix="0" xfId="0">
      <alignment horizontal="right" vertical="top" wrapText="1"/>
    </xf>
    <xf numFmtId="166" fontId="13" fillId="7" borderId="6" applyAlignment="1" pivotButton="0" quotePrefix="0" xfId="0">
      <alignment horizontal="right" vertical="top" wrapText="1"/>
    </xf>
    <xf numFmtId="166" fontId="14" fillId="5" borderId="6" applyAlignment="1" pivotButton="0" quotePrefix="0" xfId="0">
      <alignment horizontal="right" vertical="top" wrapText="1"/>
    </xf>
    <xf numFmtId="0" fontId="12" fillId="5" borderId="6" applyAlignment="1" pivotButton="0" quotePrefix="0" xfId="0">
      <alignment horizontal="center" vertical="top" wrapText="1"/>
    </xf>
    <xf numFmtId="166" fontId="12" fillId="5" borderId="6" applyAlignment="1" pivotButton="0" quotePrefix="0" xfId="0">
      <alignment horizontal="right" vertical="top" wrapText="1"/>
    </xf>
    <xf numFmtId="0" fontId="14" fillId="5" borderId="6" applyAlignment="1" pivotButton="0" quotePrefix="0" xfId="0">
      <alignment horizontal="right" vertical="top" wrapText="1"/>
    </xf>
    <xf numFmtId="0" fontId="15" fillId="5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16" fillId="8" borderId="0" pivotButton="0" quotePrefix="0" xfId="0"/>
    <xf numFmtId="0" fontId="17" fillId="8" borderId="0" pivotButton="0" quotePrefix="0" xfId="0"/>
    <xf numFmtId="0" fontId="18" fillId="9" borderId="11" applyAlignment="1" pivotButton="0" quotePrefix="0" xfId="0">
      <alignment vertical="top" wrapText="1"/>
    </xf>
    <xf numFmtId="0" fontId="0" fillId="10" borderId="11" applyAlignment="1" pivotButton="0" quotePrefix="0" xfId="0">
      <alignment vertical="top" wrapText="1"/>
    </xf>
    <xf numFmtId="0" fontId="18" fillId="8" borderId="0" pivotButton="0" quotePrefix="0" xfId="0"/>
    <xf numFmtId="0" fontId="19" fillId="10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32" t="inlineStr">
        <is>
          <t>README / Assumptions / Model Map</t>
        </is>
      </c>
      <c r="B1" s="47" t="n"/>
    </row>
    <row r="2">
      <c r="A2" s="33" t="n"/>
      <c r="B2" s="33" t="n"/>
    </row>
    <row r="3">
      <c r="A3" s="34" t="inlineStr">
        <is>
          <t>Item</t>
        </is>
      </c>
      <c r="B3" s="34" t="inlineStr">
        <is>
          <t>Current treatment</t>
        </is>
      </c>
    </row>
    <row r="4">
      <c r="A4" s="35" t="inlineStr">
        <is>
          <t>Model version/date</t>
        </is>
      </c>
      <c r="B4" s="35" t="inlineStr">
        <is>
          <t>2026-05-27 financial diligence draft.</t>
        </is>
      </c>
    </row>
    <row r="5">
      <c r="A5" s="33" t="inlineStr">
        <is>
          <t>Owner</t>
        </is>
      </c>
      <c r="B5" s="33" t="inlineStr">
        <is>
          <t>Founder-prepared; pending CFO/counsel review.</t>
        </is>
      </c>
    </row>
    <row r="6">
      <c r="A6" s="33" t="inlineStr">
        <is>
          <t>Intended use</t>
        </is>
      </c>
      <c r="B6" s="33" t="inlineStr">
        <is>
          <t>Controlled diligence and investor follow-up. Not a public/front-of-room handout by default.</t>
        </is>
      </c>
    </row>
    <row r="7">
      <c r="A7" s="33" t="inlineStr">
        <is>
          <t>Not advice</t>
        </is>
      </c>
      <c r="B7" s="33" t="inlineStr">
        <is>
          <t>Not legal, tax, accounting, securities, or valuation advice.</t>
        </is>
      </c>
    </row>
    <row r="8">
      <c r="A8" s="33" t="inlineStr">
        <is>
          <t>Core raise assumption</t>
        </is>
      </c>
      <c r="B8" s="33" t="inlineStr">
        <is>
          <t>$5M target pre-seed; staged close structure and final terms counsel/CFO pending.</t>
        </is>
      </c>
    </row>
    <row r="9">
      <c r="A9" s="33" t="inlineStr">
        <is>
          <t>Runway assumption</t>
        </is>
      </c>
      <c r="B9" s="33" t="inlineStr">
        <is>
          <t>Target plan models roughly 18-24 months: $1.85M planned spend plus $150K reserve.</t>
        </is>
      </c>
    </row>
    <row r="10">
      <c r="A10" s="33" t="inlineStr">
        <is>
          <t>Revenue assumption</t>
        </is>
      </c>
      <c r="B10" s="33" t="inlineStr">
        <is>
          <t>No revenue forecast. Reservation pricing is a qualification/scoping signal only.</t>
        </is>
      </c>
    </row>
    <row r="11">
      <c r="A11" s="33" t="inlineStr">
        <is>
          <t>Investor-facing sheets</t>
        </is>
      </c>
      <c r="B11" s="33" t="inlineStr">
        <is>
          <t>Use of Funds; Runway &amp; Burn; Dilution Sensitivity; Milestone Gates; Market Context; Caveats.</t>
        </is>
      </c>
    </row>
    <row r="12">
      <c r="A12" s="33" t="inlineStr">
        <is>
          <t>Internal/control sheets</t>
        </is>
      </c>
      <c r="B12" s="33" t="inlineStr">
        <is>
          <t>18-Month Cash Plan; Evaluation Pricing; Evaluation SOW Economics; Cap Table Draft; Unmodeled / CFO Needs.</t>
        </is>
      </c>
    </row>
    <row r="13">
      <c r="A13" s="33" t="inlineStr">
        <is>
          <t>Do not change without review</t>
        </is>
      </c>
      <c r="B13" s="33" t="inlineStr">
        <is>
          <t>Raise scenarios, SAFE sensitivity, source-backed market figures, and claim guardrails.</t>
        </is>
      </c>
    </row>
    <row r="14">
      <c r="A14" s="33" t="inlineStr">
        <is>
          <t>Source register</t>
        </is>
      </c>
      <c r="B14" s="33" t="inlineStr">
        <is>
          <t>See ATOMiK_Financial_Source_Register and Market Context source URL column.</t>
        </is>
      </c>
    </row>
    <row r="15">
      <c r="A15" s="33" t="inlineStr">
        <is>
          <t>Open diligence gaps</t>
        </is>
      </c>
      <c r="B15" s="33" t="inlineStr">
        <is>
          <t>CFO/counsel terms, option pool, taxes/benefits, insurance, legal close costs, vendor quotes, and first signed SOW.</t>
        </is>
      </c>
    </row>
    <row r="16">
      <c r="A16" s="33" t="n"/>
      <c r="B16" s="33" t="n"/>
    </row>
    <row r="17">
      <c r="A17" s="33" t="n"/>
      <c r="B17" s="33" t="n"/>
    </row>
    <row r="18">
      <c r="A18" s="33" t="inlineStr">
        <is>
          <t>Use this workbook as a controlled milestone model. Do not distribute as final CFO-approved terms.</t>
        </is>
      </c>
      <c r="B18" s="47" t="n"/>
    </row>
    <row r="19">
      <c r="A19" t="inlineStr">
        <is>
          <t>Revenue Scenario</t>
        </is>
      </c>
      <c r="B19" t="inlineStr">
        <is>
          <t>Founder-prepared planning ranges for proof reviews, SOWs, design partners, and licensing path. Not a forecast.</t>
        </is>
      </c>
    </row>
  </sheetData>
  <mergeCells count="2">
    <mergeCell ref="A18:B18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2" customWidth="1" min="5" max="5"/>
    <col width="50" customWidth="1" min="6" max="6"/>
  </cols>
  <sheetData>
    <row r="1">
      <c r="A1" s="32" t="inlineStr">
        <is>
          <t>ATOMiK - Pre-Seed Use of Funds (Formula-Backed)</t>
        </is>
      </c>
      <c r="B1" s="48" t="n"/>
      <c r="C1" s="48" t="n"/>
      <c r="D1" s="48" t="n"/>
      <c r="E1" s="48" t="n"/>
      <c r="F1" s="47" t="n"/>
    </row>
    <row r="2">
      <c r="A2" s="34" t="inlineStr">
        <is>
          <t>Category</t>
        </is>
      </c>
      <c r="B2" s="34" t="inlineStr">
        <is>
          <t>Staged $3M</t>
        </is>
      </c>
      <c r="C2" s="34" t="inlineStr">
        <is>
          <t>Target $5M</t>
        </is>
      </c>
      <c r="D2" s="34" t="inlineStr">
        <is>
          <t>Expanded $7.5M</t>
        </is>
      </c>
      <c r="E2" s="34" t="inlineStr">
        <is>
          <t>Target %</t>
        </is>
      </c>
      <c r="F2" s="34" t="inlineStr">
        <is>
          <t>Proof Gate / Purpose</t>
        </is>
      </c>
    </row>
    <row r="3">
      <c r="A3" s="35" t="inlineStr">
        <is>
          <t>Engineering &amp; Demo</t>
        </is>
      </c>
      <c r="B3" s="36" t="n">
        <v>900000</v>
      </c>
      <c r="C3" s="36" t="n">
        <v>1500000</v>
      </c>
      <c r="D3" s="36" t="n">
        <v>2250000</v>
      </c>
      <c r="E3" s="37">
        <f>C3/$C$9</f>
        <v/>
      </c>
      <c r="F3" s="35" t="inlineStr">
        <is>
          <t>Repeatable investor/design-partner proof system.</t>
        </is>
      </c>
    </row>
    <row r="4">
      <c r="A4" s="35" t="inlineStr">
        <is>
          <t>Customer Proof</t>
        </is>
      </c>
      <c r="B4" s="36" t="n">
        <v>600000</v>
      </c>
      <c r="C4" s="36" t="n">
        <v>1000000</v>
      </c>
      <c r="D4" s="36" t="n">
        <v>1500000</v>
      </c>
      <c r="E4" s="37">
        <f>C4/$C$9</f>
        <v/>
      </c>
      <c r="F4" s="35" t="inlineStr">
        <is>
          <t>First measured workload artifact with correctness preserved.</t>
        </is>
      </c>
    </row>
    <row r="5">
      <c r="A5" s="33" t="inlineStr">
        <is>
          <t>IP / Legal</t>
        </is>
      </c>
      <c r="B5" s="38" t="n">
        <v>450000</v>
      </c>
      <c r="C5" s="38" t="n">
        <v>750000</v>
      </c>
      <c r="D5" s="38" t="n">
        <v>1125000</v>
      </c>
      <c r="E5" s="39">
        <f>C5/$C$9</f>
        <v/>
      </c>
      <c r="F5" s="33" t="inlineStr">
        <is>
          <t>Counsel-reviewed IP packet and patent-conversion plan.</t>
        </is>
      </c>
    </row>
    <row r="6">
      <c r="A6" s="33" t="inlineStr">
        <is>
          <t>ASIC Feasibility</t>
        </is>
      </c>
      <c r="B6" s="38" t="n">
        <v>450000</v>
      </c>
      <c r="C6" s="38" t="n">
        <v>750000</v>
      </c>
      <c r="D6" s="38" t="n">
        <v>1125000</v>
      </c>
      <c r="E6" s="39">
        <f>C6/$C$9</f>
        <v/>
      </c>
      <c r="F6" s="33" t="inlineStr">
        <is>
          <t>Go/no-go feasibility report; quote-backed path; no tape-out funding.</t>
        </is>
      </c>
    </row>
    <row r="7">
      <c r="A7" s="33" t="inlineStr">
        <is>
          <t>Finance / GTM / Ops</t>
        </is>
      </c>
      <c r="B7" s="38" t="n">
        <v>360000</v>
      </c>
      <c r="C7" s="38" t="n">
        <v>600000</v>
      </c>
      <c r="D7" s="38" t="n">
        <v>900000</v>
      </c>
      <c r="E7" s="39">
        <f>C7/$C$9</f>
        <v/>
      </c>
      <c r="F7" s="33" t="inlineStr">
        <is>
          <t>CFO support, investor reporting, design-partner outreach, entity/admin readiness.</t>
        </is>
      </c>
    </row>
    <row r="8">
      <c r="A8" s="33" t="inlineStr">
        <is>
          <t>Reserve</t>
        </is>
      </c>
      <c r="B8" s="38" t="n">
        <v>240000</v>
      </c>
      <c r="C8" s="38" t="n">
        <v>400000</v>
      </c>
      <c r="D8" s="38" t="n">
        <v>600000</v>
      </c>
      <c r="E8" s="39">
        <f>C8/$C$9</f>
        <v/>
      </c>
      <c r="F8" s="33" t="inlineStr">
        <is>
          <t>Runway buffer and proof-cost reserve; do not convert expanded capacity into overbuild.</t>
        </is>
      </c>
    </row>
    <row r="9">
      <c r="A9" s="33" t="inlineStr">
        <is>
          <t>TOTAL</t>
        </is>
      </c>
      <c r="B9" s="40">
        <f>SUM(B3:B8)</f>
        <v/>
      </c>
      <c r="C9" s="40">
        <f>SUM(C3:C8)</f>
        <v/>
      </c>
      <c r="D9" s="40">
        <f>SUM(D3:D8)</f>
        <v/>
      </c>
      <c r="E9" s="39">
        <f>SUM(E3:E8)</f>
        <v/>
      </c>
      <c r="F9" s="33" t="inlineStr">
        <is>
          <t>Funds proof, IP, feasibility, operations. Does not fund tape-out.</t>
        </is>
      </c>
    </row>
    <row r="10">
      <c r="A10" s="33" t="n"/>
      <c r="B10" s="33" t="n"/>
      <c r="C10" s="33" t="n"/>
      <c r="D10" s="33" t="n"/>
      <c r="E10" s="33" t="n"/>
      <c r="F10" s="33" t="n"/>
    </row>
    <row r="11">
      <c r="A11" s="33" t="inlineStr">
        <is>
          <t>CFO diligence note: amounts are milestone-planning allocations. Vendor quotes, hiring plan, tax/accounting treatment, and legal close mechanics still require approval.</t>
        </is>
      </c>
      <c r="B11" s="48" t="n"/>
      <c r="C11" s="48" t="n"/>
      <c r="D11" s="48" t="n"/>
      <c r="E11" s="48" t="n"/>
      <c r="F11" s="47" t="n"/>
    </row>
  </sheetData>
  <mergeCells count="2">
    <mergeCell ref="A11:F11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  <col width="22" customWidth="1" min="7" max="7"/>
    <col width="48" customWidth="1" min="8" max="8"/>
  </cols>
  <sheetData>
    <row r="1">
      <c r="A1" s="32" t="inlineStr">
        <is>
          <t>Runway And Burn Sensitivity</t>
        </is>
      </c>
      <c r="B1" s="48" t="n"/>
      <c r="C1" s="48" t="n"/>
      <c r="D1" s="48" t="n"/>
      <c r="E1" s="48" t="n"/>
      <c r="F1" s="48" t="n"/>
      <c r="G1" s="48" t="n"/>
      <c r="H1" s="47" t="n"/>
    </row>
    <row r="2">
      <c r="A2" s="34" t="inlineStr">
        <is>
          <t>Scenario</t>
        </is>
      </c>
      <c r="B2" s="34" t="inlineStr">
        <is>
          <t>Raise</t>
        </is>
      </c>
      <c r="C2" s="34" t="inlineStr">
        <is>
          <t>Reserve</t>
        </is>
      </c>
      <c r="D2" s="34" t="inlineStr">
        <is>
          <t>Spendable Cash</t>
        </is>
      </c>
      <c r="E2" s="34" t="inlineStr">
        <is>
          <t>Planning Months</t>
        </is>
      </c>
      <c r="F2" s="34" t="inlineStr">
        <is>
          <t>Gross $/Month</t>
        </is>
      </c>
      <c r="G2" s="34" t="inlineStr">
        <is>
          <t>Ex-Reserve $/Month</t>
        </is>
      </c>
      <c r="H2" s="34" t="inlineStr">
        <is>
          <t>Notes</t>
        </is>
      </c>
    </row>
    <row r="3">
      <c r="A3" s="35" t="inlineStr">
        <is>
          <t>Staged</t>
        </is>
      </c>
      <c r="B3" s="36" t="n">
        <v>3000000</v>
      </c>
      <c r="C3" s="36" t="n">
        <v>250000</v>
      </c>
      <c r="D3" s="36">
        <f>B3-C3</f>
        <v/>
      </c>
      <c r="E3" s="41" t="n">
        <v>18</v>
      </c>
      <c r="F3" s="36">
        <f>B3/E3</f>
        <v/>
      </c>
      <c r="G3" s="36">
        <f>D3/E3</f>
        <v/>
      </c>
      <c r="H3" s="35" t="inlineStr">
        <is>
          <t>Staged close path: counsel/CFO pending; keeps proof, IP, and first customer workload path moving.</t>
        </is>
      </c>
    </row>
    <row r="4">
      <c r="A4" s="35" t="inlineStr">
        <is>
          <t>Target</t>
        </is>
      </c>
      <c r="B4" s="36" t="n">
        <v>5000000</v>
      </c>
      <c r="C4" s="36" t="n">
        <v>400000</v>
      </c>
      <c r="D4" s="36">
        <f>B4-C4</f>
        <v/>
      </c>
      <c r="E4" s="41" t="n">
        <v>24</v>
      </c>
      <c r="F4" s="36">
        <f>B4/E4</f>
        <v/>
      </c>
      <c r="G4" s="36">
        <f>D4/E4</f>
        <v/>
      </c>
      <c r="H4" s="35" t="inlineStr">
        <is>
          <t>Aggie-facing target ask: workload proof, IP packet, ASIC feasibility, and first technical capacity.</t>
        </is>
      </c>
    </row>
    <row r="5">
      <c r="A5" s="33" t="inlineStr">
        <is>
          <t>Expanded</t>
        </is>
      </c>
      <c r="B5" s="38" t="n">
        <v>7500000</v>
      </c>
      <c r="C5" s="38" t="n">
        <v>600000</v>
      </c>
      <c r="D5" s="40">
        <f>B5-C5</f>
        <v/>
      </c>
      <c r="E5" s="42" t="n">
        <v>24</v>
      </c>
      <c r="F5" s="40">
        <f>B5/E5</f>
        <v/>
      </c>
      <c r="G5" s="40">
        <f>D5/E5</f>
        <v/>
      </c>
      <c r="H5" s="33" t="inlineStr">
        <is>
          <t>Expanded capacity; not tape-out. Faster hiring and broader evaluation support.</t>
        </is>
      </c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</row>
    <row r="7">
      <c r="A7" s="33" t="inlineStr">
        <is>
          <t>Target-plan monthly budget by category. These are average equivalents, not a monthly hiring commitment; spend should be staged by milestone.</t>
        </is>
      </c>
      <c r="B7" s="48" t="n"/>
      <c r="C7" s="48" t="n"/>
      <c r="D7" s="48" t="n"/>
      <c r="E7" s="48" t="n"/>
      <c r="F7" s="48" t="n"/>
      <c r="G7" s="48" t="n"/>
      <c r="H7" s="47" t="n"/>
    </row>
    <row r="8">
      <c r="A8" s="43" t="inlineStr">
        <is>
          <t>Category</t>
        </is>
      </c>
      <c r="B8" s="43" t="inlineStr">
        <is>
          <t>Target Allocation</t>
        </is>
      </c>
      <c r="C8" s="43" t="inlineStr">
        <is>
          <t>Months</t>
        </is>
      </c>
      <c r="D8" s="43" t="inlineStr">
        <is>
          <t>Avg $/Month</t>
        </is>
      </c>
      <c r="E8" s="43" t="inlineStr">
        <is>
          <t>Gate</t>
        </is>
      </c>
      <c r="F8" s="33" t="n"/>
      <c r="G8" s="33" t="n"/>
      <c r="H8" s="33" t="n"/>
    </row>
    <row r="9">
      <c r="A9" s="33" t="inlineStr">
        <is>
          <t>Engineering &amp; Demo</t>
        </is>
      </c>
      <c r="B9" s="38" t="n">
        <v>1500000</v>
      </c>
      <c r="C9" s="44">
        <f>'Runway &amp; Burn'!$E$4</f>
        <v/>
      </c>
      <c r="D9" s="40">
        <f>B9/C9</f>
        <v/>
      </c>
      <c r="E9" s="33" t="inlineStr">
        <is>
          <t>Repeatable investor/design-partner proof system.</t>
        </is>
      </c>
      <c r="F9" s="33" t="n"/>
      <c r="G9" s="33" t="n"/>
      <c r="H9" s="33" t="n"/>
    </row>
    <row r="10">
      <c r="A10" s="33" t="inlineStr">
        <is>
          <t>Customer Proof</t>
        </is>
      </c>
      <c r="B10" s="38" t="n">
        <v>1000000</v>
      </c>
      <c r="C10" s="44">
        <f>'Runway &amp; Burn'!$E$4</f>
        <v/>
      </c>
      <c r="D10" s="40">
        <f>B10/C10</f>
        <v/>
      </c>
      <c r="E10" s="33" t="inlineStr">
        <is>
          <t>First measured workload artifact with correctness preserved.</t>
        </is>
      </c>
      <c r="F10" s="33" t="n"/>
      <c r="G10" s="33" t="n"/>
      <c r="H10" s="33" t="n"/>
    </row>
    <row r="11">
      <c r="A11" s="33" t="inlineStr">
        <is>
          <t>IP / Legal</t>
        </is>
      </c>
      <c r="B11" s="38" t="n">
        <v>750000</v>
      </c>
      <c r="C11" s="44">
        <f>'Runway &amp; Burn'!$E$4</f>
        <v/>
      </c>
      <c r="D11" s="40">
        <f>B11/C11</f>
        <v/>
      </c>
      <c r="E11" s="33" t="inlineStr">
        <is>
          <t>Counsel-reviewed IP packet and patent-conversion plan.</t>
        </is>
      </c>
      <c r="F11" s="33" t="n"/>
      <c r="G11" s="33" t="n"/>
      <c r="H11" s="33" t="n"/>
    </row>
    <row r="12">
      <c r="A12" s="33" t="inlineStr">
        <is>
          <t>ASIC Feasibility</t>
        </is>
      </c>
      <c r="B12" s="38" t="n">
        <v>750000</v>
      </c>
      <c r="C12" s="44">
        <f>'Runway &amp; Burn'!$E$4</f>
        <v/>
      </c>
      <c r="D12" s="40">
        <f>B12/C12</f>
        <v/>
      </c>
      <c r="E12" s="33" t="inlineStr">
        <is>
          <t>Go/no-go feasibility report; quote-backed path; no tape-out funding.</t>
        </is>
      </c>
      <c r="F12" s="33" t="n"/>
      <c r="G12" s="33" t="n"/>
      <c r="H12" s="33" t="n"/>
    </row>
    <row r="13">
      <c r="A13" s="33" t="inlineStr">
        <is>
          <t>Finance / GTM / Ops</t>
        </is>
      </c>
      <c r="B13" s="38" t="n">
        <v>600000</v>
      </c>
      <c r="C13" s="44">
        <f>'Runway &amp; Burn'!$E$4</f>
        <v/>
      </c>
      <c r="D13" s="40">
        <f>B13/C13</f>
        <v/>
      </c>
      <c r="E13" s="33" t="inlineStr">
        <is>
          <t>CFO support, investor reporting, design-partner outreach, entity/admin readiness.</t>
        </is>
      </c>
      <c r="F13" s="33" t="n"/>
      <c r="G13" s="33" t="n"/>
      <c r="H13" s="33" t="n"/>
    </row>
    <row r="14">
      <c r="A14" s="33" t="inlineStr">
        <is>
          <t>Reserve</t>
        </is>
      </c>
      <c r="B14" s="38" t="n">
        <v>400000</v>
      </c>
      <c r="C14" s="44">
        <f>'Runway &amp; Burn'!$E$4</f>
        <v/>
      </c>
      <c r="D14" s="40">
        <f>B14/C14</f>
        <v/>
      </c>
      <c r="E14" s="33" t="inlineStr">
        <is>
          <t>Runway buffer; do not convert stretch into overbuild.</t>
        </is>
      </c>
      <c r="F14" s="33" t="n"/>
      <c r="G14" s="33" t="n"/>
      <c r="H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</row>
    <row r="16">
      <c r="A16" s="33" t="inlineStr">
        <is>
          <t>Formula check: target allocation total</t>
        </is>
      </c>
      <c r="B16" s="40">
        <f>SUM(B9:B14)</f>
        <v/>
      </c>
      <c r="C16" s="33" t="n"/>
      <c r="D16" s="40">
        <f>SUM(D9:D14)</f>
        <v/>
      </c>
      <c r="E16" s="33" t="inlineStr">
        <is>
          <t>Monthly total should equal target gross/month.</t>
        </is>
      </c>
      <c r="F16" s="48" t="n"/>
      <c r="G16" s="48" t="n"/>
      <c r="H16" s="47" t="n"/>
    </row>
  </sheetData>
  <mergeCells count="3">
    <mergeCell ref="A7:H7"/>
    <mergeCell ref="E16:H16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32" t="inlineStr">
        <is>
          <t>24-Month Target Cash Plan - $5M Raise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7" t="n"/>
    </row>
    <row r="2">
      <c r="A2" s="35" t="inlineStr">
        <is>
          <t>Target-plan monthly budget. Values are planning allocations, not approved hiring commitments. Spend should be staged behind proof gates and vendor quotes.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7" t="n"/>
    </row>
    <row r="3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</row>
    <row r="4">
      <c r="A4" s="34" t="inlineStr">
        <is>
          <t>Line Item</t>
        </is>
      </c>
      <c r="B4" s="34" t="inlineStr">
        <is>
          <t>M1</t>
        </is>
      </c>
      <c r="C4" s="34" t="inlineStr">
        <is>
          <t>M2</t>
        </is>
      </c>
      <c r="D4" s="34" t="inlineStr">
        <is>
          <t>M3</t>
        </is>
      </c>
      <c r="E4" s="34" t="inlineStr">
        <is>
          <t>M4</t>
        </is>
      </c>
      <c r="F4" s="34" t="inlineStr">
        <is>
          <t>M5</t>
        </is>
      </c>
      <c r="G4" s="34" t="inlineStr">
        <is>
          <t>M6</t>
        </is>
      </c>
      <c r="H4" s="34" t="inlineStr">
        <is>
          <t>M7</t>
        </is>
      </c>
      <c r="I4" s="34" t="inlineStr">
        <is>
          <t>M8</t>
        </is>
      </c>
      <c r="J4" s="34" t="inlineStr">
        <is>
          <t>M9</t>
        </is>
      </c>
      <c r="K4" s="34" t="inlineStr">
        <is>
          <t>M10</t>
        </is>
      </c>
      <c r="L4" s="34" t="inlineStr">
        <is>
          <t>M11</t>
        </is>
      </c>
      <c r="M4" s="34" t="inlineStr">
        <is>
          <t>M12</t>
        </is>
      </c>
      <c r="N4" s="34" t="inlineStr">
        <is>
          <t>M13</t>
        </is>
      </c>
      <c r="O4" s="34" t="inlineStr">
        <is>
          <t>M14</t>
        </is>
      </c>
      <c r="P4" s="34" t="inlineStr">
        <is>
          <t>M15</t>
        </is>
      </c>
      <c r="Q4" s="34" t="inlineStr">
        <is>
          <t>M16</t>
        </is>
      </c>
      <c r="R4" s="34" t="inlineStr">
        <is>
          <t>M17</t>
        </is>
      </c>
      <c r="S4" s="34" t="inlineStr">
        <is>
          <t>M18</t>
        </is>
      </c>
      <c r="T4" s="34" t="inlineStr">
        <is>
          <t>Total</t>
        </is>
      </c>
      <c r="U4" s="34" t="inlineStr">
        <is>
          <t>Notes</t>
        </is>
      </c>
    </row>
    <row r="5">
      <c r="A5" s="33" t="inlineStr">
        <is>
          <t>Engineering capacity / contractors</t>
        </is>
      </c>
      <c r="B5" s="38" t="n">
        <v>20000</v>
      </c>
      <c r="C5" s="38" t="n">
        <v>20000</v>
      </c>
      <c r="D5" s="38" t="n">
        <v>30000</v>
      </c>
      <c r="E5" s="38" t="n">
        <v>30000</v>
      </c>
      <c r="F5" s="38" t="n">
        <v>30000</v>
      </c>
      <c r="G5" s="38" t="n">
        <v>30000</v>
      </c>
      <c r="H5" s="38" t="n">
        <v>30000</v>
      </c>
      <c r="I5" s="38" t="n">
        <v>30000</v>
      </c>
      <c r="J5" s="38" t="n">
        <v>30000</v>
      </c>
      <c r="K5" s="38" t="n">
        <v>30000</v>
      </c>
      <c r="L5" s="38" t="n">
        <v>30000</v>
      </c>
      <c r="M5" s="38" t="n">
        <v>30000</v>
      </c>
      <c r="N5" s="38" t="n">
        <v>30000</v>
      </c>
      <c r="O5" s="38" t="n">
        <v>30000</v>
      </c>
      <c r="P5" s="38" t="n">
        <v>30000</v>
      </c>
      <c r="Q5" s="38" t="n">
        <v>30000</v>
      </c>
      <c r="R5" s="38" t="n">
        <v>30000</v>
      </c>
      <c r="S5" s="38" t="n">
        <v>30000</v>
      </c>
      <c r="T5" s="40">
        <f>SUM(B5:S5)</f>
        <v/>
      </c>
      <c r="U5" s="33" t="inlineStr">
        <is>
          <t>FPGA/ASIC and workload-validation capacity; hire timing staged by close.</t>
        </is>
      </c>
    </row>
    <row r="6">
      <c r="A6" s="33" t="inlineStr">
        <is>
          <t>Demo hardware, tools, packaging</t>
        </is>
      </c>
      <c r="B6" s="38" t="n">
        <v>20000</v>
      </c>
      <c r="C6" s="38" t="n">
        <v>20000</v>
      </c>
      <c r="D6" s="38" t="n">
        <v>10000</v>
      </c>
      <c r="E6" s="38" t="n">
        <v>10000</v>
      </c>
      <c r="F6" s="38" t="n">
        <v>10000</v>
      </c>
      <c r="G6" s="38" t="n">
        <v>10000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8" t="n">
        <v>0</v>
      </c>
      <c r="P6" s="38" t="n">
        <v>0</v>
      </c>
      <c r="Q6" s="38" t="n">
        <v>0</v>
      </c>
      <c r="R6" s="38" t="n">
        <v>0</v>
      </c>
      <c r="S6" s="38" t="n">
        <v>0</v>
      </c>
      <c r="T6" s="40">
        <f>SUM(B6:S6)</f>
        <v/>
      </c>
      <c r="U6" s="33" t="inlineStr">
        <is>
          <t>Boards, test equipment, software/tooling, investor-demo reliability.</t>
        </is>
      </c>
    </row>
    <row r="7">
      <c r="A7" s="33" t="inlineStr">
        <is>
          <t>Customer workload proof</t>
        </is>
      </c>
      <c r="B7" s="38" t="n">
        <v>5000</v>
      </c>
      <c r="C7" s="38" t="n">
        <v>5000</v>
      </c>
      <c r="D7" s="38" t="n">
        <v>20000</v>
      </c>
      <c r="E7" s="38" t="n">
        <v>20000</v>
      </c>
      <c r="F7" s="38" t="n">
        <v>20000</v>
      </c>
      <c r="G7" s="38" t="n">
        <v>20000</v>
      </c>
      <c r="H7" s="38" t="n">
        <v>30000</v>
      </c>
      <c r="I7" s="38" t="n">
        <v>30000</v>
      </c>
      <c r="J7" s="38" t="n">
        <v>30000</v>
      </c>
      <c r="K7" s="38" t="n">
        <v>30000</v>
      </c>
      <c r="L7" s="38" t="n">
        <v>30000</v>
      </c>
      <c r="M7" s="38" t="n">
        <v>30000</v>
      </c>
      <c r="N7" s="38" t="n">
        <v>21666.6667</v>
      </c>
      <c r="O7" s="38" t="n">
        <v>21666.6667</v>
      </c>
      <c r="P7" s="38" t="n">
        <v>21666.6667</v>
      </c>
      <c r="Q7" s="38" t="n">
        <v>21666.6667</v>
      </c>
      <c r="R7" s="38" t="n">
        <v>21666.6667</v>
      </c>
      <c r="S7" s="38" t="n">
        <v>21666.6667</v>
      </c>
      <c r="T7" s="40">
        <f>SUM(B7:S7)</f>
        <v/>
      </c>
      <c r="U7" s="33" t="inlineStr">
        <is>
          <t>Evaluation harnesses, traces, baseline work, proof artifacts.</t>
        </is>
      </c>
    </row>
    <row r="8">
      <c r="A8" s="33" t="inlineStr">
        <is>
          <t>IP / legal</t>
        </is>
      </c>
      <c r="B8" s="38" t="n">
        <v>30000</v>
      </c>
      <c r="C8" s="38" t="n">
        <v>30000</v>
      </c>
      <c r="D8" s="38" t="n">
        <v>30000</v>
      </c>
      <c r="E8" s="38" t="n">
        <v>30000</v>
      </c>
      <c r="F8" s="38" t="n">
        <v>25000</v>
      </c>
      <c r="G8" s="38" t="n">
        <v>25000</v>
      </c>
      <c r="H8" s="38" t="n">
        <v>25000</v>
      </c>
      <c r="I8" s="38" t="n">
        <v>25000</v>
      </c>
      <c r="J8" s="38" t="n">
        <v>20000</v>
      </c>
      <c r="K8" s="38" t="n">
        <v>20000</v>
      </c>
      <c r="L8" s="38" t="n">
        <v>20000</v>
      </c>
      <c r="M8" s="38" t="n">
        <v>20000</v>
      </c>
      <c r="N8" s="38" t="n">
        <v>0</v>
      </c>
      <c r="O8" s="38" t="n">
        <v>0</v>
      </c>
      <c r="P8" s="38" t="n">
        <v>0</v>
      </c>
      <c r="Q8" s="38" t="n">
        <v>0</v>
      </c>
      <c r="R8" s="38" t="n">
        <v>0</v>
      </c>
      <c r="S8" s="38" t="n">
        <v>0</v>
      </c>
      <c r="T8" s="40">
        <f>SUM(B8:S8)</f>
        <v/>
      </c>
      <c r="U8" s="33" t="inlineStr">
        <is>
          <t>Patent conversion, prior art, entity/IP cleanup, diligence packet.</t>
        </is>
      </c>
    </row>
    <row r="9">
      <c r="A9" s="33" t="inlineStr">
        <is>
          <t>ASIC feasibility</t>
        </is>
      </c>
      <c r="B9" s="38" t="n">
        <v>5000</v>
      </c>
      <c r="C9" s="38" t="n">
        <v>5000</v>
      </c>
      <c r="D9" s="38" t="n">
        <v>5000</v>
      </c>
      <c r="E9" s="38" t="n">
        <v>10000</v>
      </c>
      <c r="F9" s="38" t="n">
        <v>10000</v>
      </c>
      <c r="G9" s="38" t="n">
        <v>10000</v>
      </c>
      <c r="H9" s="38" t="n">
        <v>30000</v>
      </c>
      <c r="I9" s="38" t="n">
        <v>30000</v>
      </c>
      <c r="J9" s="38" t="n">
        <v>30000</v>
      </c>
      <c r="K9" s="38" t="n">
        <v>30000</v>
      </c>
      <c r="L9" s="38" t="n">
        <v>30000</v>
      </c>
      <c r="M9" s="38" t="n">
        <v>30000</v>
      </c>
      <c r="N9" s="38" t="n">
        <v>12500</v>
      </c>
      <c r="O9" s="38" t="n">
        <v>12500</v>
      </c>
      <c r="P9" s="38" t="n">
        <v>12500</v>
      </c>
      <c r="Q9" s="38" t="n">
        <v>12500</v>
      </c>
      <c r="R9" s="38" t="n">
        <v>12500</v>
      </c>
      <c r="S9" s="38" t="n">
        <v>12500</v>
      </c>
      <c r="T9" s="40">
        <f>SUM(B9:S9)</f>
        <v/>
      </c>
      <c r="U9" s="33" t="inlineStr">
        <is>
          <t>Mentor, feasibility scoping, external review; no tape-out.</t>
        </is>
      </c>
    </row>
    <row r="10">
      <c r="A10" s="33" t="inlineStr">
        <is>
          <t>Finance / GTM / ops</t>
        </is>
      </c>
      <c r="B10" s="38" t="n">
        <v>13888.88888888889</v>
      </c>
      <c r="C10" s="38" t="n">
        <v>13888.88888888889</v>
      </c>
      <c r="D10" s="38" t="n">
        <v>13888.88888888889</v>
      </c>
      <c r="E10" s="38" t="n">
        <v>13888.88888888889</v>
      </c>
      <c r="F10" s="38" t="n">
        <v>13888.88888888889</v>
      </c>
      <c r="G10" s="38" t="n">
        <v>13888.88888888889</v>
      </c>
      <c r="H10" s="38" t="n">
        <v>13888.88888888889</v>
      </c>
      <c r="I10" s="38" t="n">
        <v>13888.88888888889</v>
      </c>
      <c r="J10" s="38" t="n">
        <v>13888.88888888889</v>
      </c>
      <c r="K10" s="38" t="n">
        <v>13888.88888888889</v>
      </c>
      <c r="L10" s="38" t="n">
        <v>13888.88888888889</v>
      </c>
      <c r="M10" s="38" t="n">
        <v>13888.88888888889</v>
      </c>
      <c r="N10" s="38" t="n">
        <v>13888.88888888889</v>
      </c>
      <c r="O10" s="38" t="n">
        <v>13888.88888888889</v>
      </c>
      <c r="P10" s="38" t="n">
        <v>13888.88888888889</v>
      </c>
      <c r="Q10" s="38" t="n">
        <v>13888.88888888889</v>
      </c>
      <c r="R10" s="38" t="n">
        <v>13888.88888888889</v>
      </c>
      <c r="S10" s="38" t="n">
        <v>13888.88888888889</v>
      </c>
      <c r="T10" s="40">
        <f>SUM(B10:S10)</f>
        <v/>
      </c>
      <c r="U10" s="33" t="inlineStr">
        <is>
          <t>Fractional CFO/accounting, investor reporting, outreach, insurance/admin.</t>
        </is>
      </c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inlineStr">
        <is>
          <t>Monthly planned spend</t>
        </is>
      </c>
      <c r="B12" s="40">
        <f>SUM(B5:B10)</f>
        <v/>
      </c>
      <c r="C12" s="40">
        <f>SUM(C5:C10)</f>
        <v/>
      </c>
      <c r="D12" s="40">
        <f>SUM(D5:D10)</f>
        <v/>
      </c>
      <c r="E12" s="40">
        <f>SUM(E5:E10)</f>
        <v/>
      </c>
      <c r="F12" s="40">
        <f>SUM(F5:F10)</f>
        <v/>
      </c>
      <c r="G12" s="40">
        <f>SUM(G5:G10)</f>
        <v/>
      </c>
      <c r="H12" s="40">
        <f>SUM(H5:H10)</f>
        <v/>
      </c>
      <c r="I12" s="40">
        <f>SUM(I5:I10)</f>
        <v/>
      </c>
      <c r="J12" s="40">
        <f>SUM(J5:J10)</f>
        <v/>
      </c>
      <c r="K12" s="40">
        <f>SUM(K5:K10)</f>
        <v/>
      </c>
      <c r="L12" s="40">
        <f>SUM(L5:L10)</f>
        <v/>
      </c>
      <c r="M12" s="40">
        <f>SUM(M5:M10)</f>
        <v/>
      </c>
      <c r="N12" s="40">
        <f>SUM(N5:N10)</f>
        <v/>
      </c>
      <c r="O12" s="40">
        <f>SUM(O5:O10)</f>
        <v/>
      </c>
      <c r="P12" s="40">
        <f>SUM(P5:P10)</f>
        <v/>
      </c>
      <c r="Q12" s="40">
        <f>SUM(Q5:Q10)</f>
        <v/>
      </c>
      <c r="R12" s="40">
        <f>SUM(R5:R10)</f>
        <v/>
      </c>
      <c r="S12" s="40">
        <f>SUM(S5:S10)</f>
        <v/>
      </c>
      <c r="T12" s="40">
        <f>SUM(B12:S12)</f>
        <v/>
      </c>
      <c r="U12" s="33" t="inlineStr">
        <is>
          <t>Should equal $1.85M spendable target cash, excluding $150K reserve.</t>
        </is>
      </c>
    </row>
    <row r="13">
      <c r="A13" s="33" t="inlineStr">
        <is>
          <t>Cumulative spend</t>
        </is>
      </c>
      <c r="B13" s="40">
        <f>SUM($B$12:B$12)</f>
        <v/>
      </c>
      <c r="C13" s="40">
        <f>SUM($B$12:C$12)</f>
        <v/>
      </c>
      <c r="D13" s="40">
        <f>SUM($B$12:D$12)</f>
        <v/>
      </c>
      <c r="E13" s="40">
        <f>SUM($B$12:E$12)</f>
        <v/>
      </c>
      <c r="F13" s="40">
        <f>SUM($B$12:F$12)</f>
        <v/>
      </c>
      <c r="G13" s="40">
        <f>SUM($B$12:G$12)</f>
        <v/>
      </c>
      <c r="H13" s="40">
        <f>SUM($B$12:H$12)</f>
        <v/>
      </c>
      <c r="I13" s="40">
        <f>SUM($B$12:I$12)</f>
        <v/>
      </c>
      <c r="J13" s="40">
        <f>SUM($B$12:J$12)</f>
        <v/>
      </c>
      <c r="K13" s="40">
        <f>SUM($B$12:K$12)</f>
        <v/>
      </c>
      <c r="L13" s="40">
        <f>SUM($B$12:L$12)</f>
        <v/>
      </c>
      <c r="M13" s="40">
        <f>SUM($B$12:M$12)</f>
        <v/>
      </c>
      <c r="N13" s="40">
        <f>SUM($B$12:N$12)</f>
        <v/>
      </c>
      <c r="O13" s="40">
        <f>SUM($B$12:O$12)</f>
        <v/>
      </c>
      <c r="P13" s="40">
        <f>SUM($B$12:P$12)</f>
        <v/>
      </c>
      <c r="Q13" s="40">
        <f>SUM($B$12:Q$12)</f>
        <v/>
      </c>
      <c r="R13" s="40">
        <f>SUM($B$12:R$12)</f>
        <v/>
      </c>
      <c r="S13" s="40">
        <f>SUM($B$12:S$12)</f>
        <v/>
      </c>
      <c r="T13" s="40">
        <f>S13</f>
        <v/>
      </c>
      <c r="U13" s="33" t="inlineStr">
        <is>
          <t>Tracks spend against target spendable cash.</t>
        </is>
      </c>
    </row>
    <row r="14">
      <c r="A14" s="33" t="inlineStr">
        <is>
          <t>Remaining spendable cash</t>
        </is>
      </c>
      <c r="B14" s="40">
        <f>IF(ABS(1850000-B13)&lt;1,0,ROUND(1850000-B13,0))</f>
        <v/>
      </c>
      <c r="C14" s="40">
        <f>IF(ABS(1850000-C13)&lt;1,0,ROUND(1850000-C13,0))</f>
        <v/>
      </c>
      <c r="D14" s="40">
        <f>IF(ABS(1850000-D13)&lt;1,0,ROUND(1850000-D13,0))</f>
        <v/>
      </c>
      <c r="E14" s="40">
        <f>IF(ABS(1850000-E13)&lt;1,0,ROUND(1850000-E13,0))</f>
        <v/>
      </c>
      <c r="F14" s="40">
        <f>IF(ABS(1850000-F13)&lt;1,0,ROUND(1850000-F13,0))</f>
        <v/>
      </c>
      <c r="G14" s="40">
        <f>IF(ABS(1850000-G13)&lt;1,0,ROUND(1850000-G13,0))</f>
        <v/>
      </c>
      <c r="H14" s="40">
        <f>IF(ABS(1850000-H13)&lt;1,0,ROUND(1850000-H13,0))</f>
        <v/>
      </c>
      <c r="I14" s="40">
        <f>IF(ABS(1850000-I13)&lt;1,0,ROUND(1850000-I13,0))</f>
        <v/>
      </c>
      <c r="J14" s="40">
        <f>IF(ABS(1850000-J13)&lt;1,0,ROUND(1850000-J13,0))</f>
        <v/>
      </c>
      <c r="K14" s="40">
        <f>IF(ABS(1850000-K13)&lt;1,0,ROUND(1850000-K13,0))</f>
        <v/>
      </c>
      <c r="L14" s="40">
        <f>IF(ABS(1850000-L13)&lt;1,0,ROUND(1850000-L13,0))</f>
        <v/>
      </c>
      <c r="M14" s="40">
        <f>IF(ABS(1850000-M13)&lt;1,0,ROUND(1850000-M13,0))</f>
        <v/>
      </c>
      <c r="N14" s="40">
        <f>IF(ABS(1850000-N13)&lt;1,0,ROUND(1850000-N13,0))</f>
        <v/>
      </c>
      <c r="O14" s="40">
        <f>IF(ABS(1850000-O13)&lt;1,0,ROUND(1850000-O13,0))</f>
        <v/>
      </c>
      <c r="P14" s="40">
        <f>IF(ABS(1850000-P13)&lt;1,0,ROUND(1850000-P13,0))</f>
        <v/>
      </c>
      <c r="Q14" s="40">
        <f>IF(ABS(1850000-Q13)&lt;1,0,ROUND(1850000-Q13,0))</f>
        <v/>
      </c>
      <c r="R14" s="40">
        <f>IF(ABS(1850000-R13)&lt;1,0,ROUND(1850000-R13,0))</f>
        <v/>
      </c>
      <c r="S14" s="40">
        <f>IF(ABS(1850000-S13)&lt;1,0,ROUND(1850000-S13,0))</f>
        <v/>
      </c>
      <c r="T14" s="40">
        <f>S14</f>
        <v/>
      </c>
      <c r="U14" s="33" t="inlineStr">
        <is>
          <t>Target raise minus reserve is $1.85M.</t>
        </is>
      </c>
    </row>
    <row r="15">
      <c r="A15" s="33" t="inlineStr">
        <is>
          <t>Reserve held</t>
        </is>
      </c>
      <c r="B15" s="38" t="n">
        <v>150000</v>
      </c>
      <c r="C15" s="38" t="n">
        <v>150000</v>
      </c>
      <c r="D15" s="38" t="n">
        <v>150000</v>
      </c>
      <c r="E15" s="38" t="n">
        <v>150000</v>
      </c>
      <c r="F15" s="38" t="n">
        <v>150000</v>
      </c>
      <c r="G15" s="38" t="n">
        <v>150000</v>
      </c>
      <c r="H15" s="38" t="n">
        <v>150000</v>
      </c>
      <c r="I15" s="38" t="n">
        <v>150000</v>
      </c>
      <c r="J15" s="38" t="n">
        <v>150000</v>
      </c>
      <c r="K15" s="38" t="n">
        <v>150000</v>
      </c>
      <c r="L15" s="38" t="n">
        <v>150000</v>
      </c>
      <c r="M15" s="38" t="n">
        <v>150000</v>
      </c>
      <c r="N15" s="38" t="n">
        <v>150000</v>
      </c>
      <c r="O15" s="38" t="n">
        <v>150000</v>
      </c>
      <c r="P15" s="38" t="n">
        <v>150000</v>
      </c>
      <c r="Q15" s="38" t="n">
        <v>150000</v>
      </c>
      <c r="R15" s="38" t="n">
        <v>150000</v>
      </c>
      <c r="S15" s="38" t="n">
        <v>150000</v>
      </c>
      <c r="T15" s="38" t="n">
        <v>150000</v>
      </c>
      <c r="U15" s="33" t="inlineStr">
        <is>
          <t>Held as buffer; not included in planned spend.</t>
        </is>
      </c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inlineStr">
        <is>
          <t>Cash-plan check: B12:S12 totals should equal $1.85M and row 15 should preserve the $150K target reserve. Add taxes, benefits, and exact vendor quotes once CFO/accounting has current assumptions.</t>
        </is>
      </c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7" t="n"/>
    </row>
  </sheetData>
  <mergeCells count="3">
    <mergeCell ref="A1:U1"/>
    <mergeCell ref="A17:U17"/>
    <mergeCell ref="A2:U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  <col width="34" customWidth="1" min="4" max="4"/>
    <col width="40" customWidth="1" min="5" max="5"/>
  </cols>
  <sheetData>
    <row r="1">
      <c r="A1" s="32" t="inlineStr">
        <is>
          <t>Evaluation Pricing And Revenue Signals - Planning Only</t>
        </is>
      </c>
      <c r="B1" s="48" t="n"/>
      <c r="C1" s="48" t="n"/>
      <c r="D1" s="48" t="n"/>
      <c r="E1" s="47" t="n"/>
    </row>
    <row r="2">
      <c r="A2" s="35" t="inlineStr">
        <is>
          <t>This sheet is not a revenue forecast. Reservation prices qualify interest and may be credited toward larger scoped work; larger evaluations require written SOWs.</t>
        </is>
      </c>
      <c r="B2" s="48" t="n"/>
      <c r="C2" s="48" t="n"/>
      <c r="D2" s="48" t="n"/>
      <c r="E2" s="47" t="n"/>
    </row>
    <row r="3">
      <c r="A3" s="33" t="n"/>
      <c r="B3" s="33" t="n"/>
      <c r="C3" s="33" t="n"/>
      <c r="D3" s="33" t="n"/>
      <c r="E3" s="33" t="n"/>
    </row>
    <row r="4">
      <c r="A4" s="34" t="inlineStr">
        <is>
          <t>Offer</t>
        </is>
      </c>
      <c r="B4" s="34" t="inlineStr">
        <is>
          <t>Public / Planning Price</t>
        </is>
      </c>
      <c r="C4" s="34" t="inlineStr">
        <is>
          <t>External Wording</t>
        </is>
      </c>
      <c r="D4" s="34" t="inlineStr">
        <is>
          <t>Financial Treatment</t>
        </is>
      </c>
      <c r="E4" s="34" t="inlineStr">
        <is>
          <t>Caveat</t>
        </is>
      </c>
    </row>
    <row r="5">
      <c r="A5" s="33" t="inlineStr">
        <is>
          <t>Proof Review Reservation</t>
        </is>
      </c>
      <c r="B5" s="38" t="n">
        <v>750</v>
      </c>
      <c r="C5" s="33" t="inlineStr">
        <is>
          <t>One-time reservation for proof/workload review.</t>
        </is>
      </c>
      <c r="D5" s="33" t="inlineStr">
        <is>
          <t>Small qualification payment; not material revenue.</t>
        </is>
      </c>
      <c r="E5" s="33" t="inlineStr">
        <is>
          <t>Does not create commercial license or prove customer demand by itself.</t>
        </is>
      </c>
    </row>
    <row r="6">
      <c r="A6" s="33" t="inlineStr">
        <is>
          <t>Technical Evaluation Reservation</t>
        </is>
      </c>
      <c r="B6" s="38" t="n">
        <v>2500</v>
      </c>
      <c r="C6" s="33" t="inlineStr">
        <is>
          <t>One-time reservation for evaluation scoping.</t>
        </is>
      </c>
      <c r="D6" s="33" t="inlineStr">
        <is>
          <t>Small qualification payment; may convert into scoped SOW.</t>
        </is>
      </c>
      <c r="E6" s="33" t="inlineStr">
        <is>
          <t>Final deliverables and terms confirmed separately.</t>
        </is>
      </c>
    </row>
    <row r="7">
      <c r="A7" s="33" t="inlineStr">
        <is>
          <t>Scoped Design Partner Evaluation</t>
        </is>
      </c>
      <c r="B7" s="33" t="inlineStr">
        <is>
          <t>Request-based</t>
        </is>
      </c>
      <c r="C7" s="33" t="inlineStr">
        <is>
          <t>Written scope around workload, baseline, metric, deliverables.</t>
        </is>
      </c>
      <c r="D7" s="33" t="inlineStr">
        <is>
          <t>Potential first material customer-funded proof path.</t>
        </is>
      </c>
      <c r="E7" s="33" t="inlineStr">
        <is>
          <t>No forecast until signed SOW.</t>
        </is>
      </c>
    </row>
    <row r="8">
      <c r="A8" s="33" t="inlineStr">
        <is>
          <t>Licensing / IP Diligence</t>
        </is>
      </c>
      <c r="B8" s="33" t="inlineStr">
        <is>
          <t>Request-based</t>
        </is>
      </c>
      <c r="C8" s="33" t="inlineStr">
        <is>
          <t>Partner-specific diligence path.</t>
        </is>
      </c>
      <c r="D8" s="33" t="inlineStr">
        <is>
          <t>Future/mid-term revenue candidate.</t>
        </is>
      </c>
      <c r="E8" s="33" t="inlineStr">
        <is>
          <t>Requires workload proof, IP packet, and integration path.</t>
        </is>
      </c>
    </row>
    <row r="9">
      <c r="A9" s="33" t="inlineStr">
        <is>
          <t>Commercial Licensing / Embedded IP</t>
        </is>
      </c>
      <c r="B9" s="33" t="inlineStr">
        <is>
          <t>Future</t>
        </is>
      </c>
      <c r="C9" s="33" t="inlineStr">
        <is>
          <t>Not a pre-seed revenue forecast.</t>
        </is>
      </c>
      <c r="D9" s="33" t="inlineStr">
        <is>
          <t>Strategic upside path.</t>
        </is>
      </c>
      <c r="E9" s="33" t="inlineStr">
        <is>
          <t>Do not quote license pricing before customer/partner evidence.</t>
        </is>
      </c>
    </row>
    <row r="10">
      <c r="A10" s="33" t="n"/>
      <c r="B10" s="33" t="n"/>
      <c r="C10" s="33" t="n"/>
      <c r="D10" s="33" t="n"/>
      <c r="E10" s="33" t="n"/>
    </row>
    <row r="11">
      <c r="A11" s="33" t="n"/>
      <c r="B11" s="33" t="n"/>
      <c r="C11" s="33" t="n"/>
      <c r="D11" s="33" t="n"/>
      <c r="E11" s="33" t="n"/>
    </row>
    <row r="12">
      <c r="A12" s="33" t="inlineStr">
        <is>
          <t>Illustrative reservation cash only - not a forecast and not a valuation input.</t>
        </is>
      </c>
      <c r="B12" s="48" t="n"/>
      <c r="C12" s="48" t="n"/>
      <c r="D12" s="48" t="n"/>
      <c r="E12" s="47" t="n"/>
    </row>
    <row r="13">
      <c r="A13" s="43" t="inlineStr">
        <is>
          <t>Input</t>
        </is>
      </c>
      <c r="B13" s="43" t="inlineStr">
        <is>
          <t>Conservative</t>
        </is>
      </c>
      <c r="C13" s="43" t="inlineStr">
        <is>
          <t>Base</t>
        </is>
      </c>
      <c r="D13" s="43" t="inlineStr">
        <is>
          <t>Upside</t>
        </is>
      </c>
      <c r="E13" s="43" t="inlineStr">
        <is>
          <t>Notes</t>
        </is>
      </c>
    </row>
    <row r="14">
      <c r="A14" s="33" t="inlineStr">
        <is>
          <t>Proof review reservations</t>
        </is>
      </c>
      <c r="B14" s="45" t="n">
        <v>0</v>
      </c>
      <c r="C14" s="45" t="n">
        <v>2</v>
      </c>
      <c r="D14" s="45" t="n">
        <v>5</v>
      </c>
      <c r="E14" s="33" t="inlineStr">
        <is>
          <t>Uses current public $750 reservation.</t>
        </is>
      </c>
    </row>
    <row r="15">
      <c r="A15" s="33" t="inlineStr">
        <is>
          <t>Technical eval reservations</t>
        </is>
      </c>
      <c r="B15" s="45" t="n">
        <v>0</v>
      </c>
      <c r="C15" s="45" t="n">
        <v>1</v>
      </c>
      <c r="D15" s="45" t="n">
        <v>3</v>
      </c>
      <c r="E15" s="33" t="inlineStr">
        <is>
          <t>Uses current public $2,500 reservation.</t>
        </is>
      </c>
    </row>
    <row r="16">
      <c r="A16" s="33" t="inlineStr">
        <is>
          <t>Reservation cash</t>
        </is>
      </c>
      <c r="B16" s="40">
        <f>B14*750+B15*2500</f>
        <v/>
      </c>
      <c r="C16" s="40">
        <f>C14*750+C15*2500</f>
        <v/>
      </c>
      <c r="D16" s="40">
        <f>D14*750+D15*2500</f>
        <v/>
      </c>
      <c r="E16" s="33" t="inlineStr">
        <is>
          <t>Qualification signal only; serious revenue requires SOW.</t>
        </is>
      </c>
    </row>
    <row r="17">
      <c r="A17" s="33" t="inlineStr">
        <is>
          <t>Scoped SOW revenue</t>
        </is>
      </c>
      <c r="B17" s="33" t="inlineStr">
        <is>
          <t>TBD</t>
        </is>
      </c>
      <c r="C17" s="33" t="inlineStr">
        <is>
          <t>TBD</t>
        </is>
      </c>
      <c r="D17" s="33" t="inlineStr">
        <is>
          <t>TBD</t>
        </is>
      </c>
      <c r="E17" s="33" t="inlineStr">
        <is>
          <t>Do not forecast until a written scope exists.</t>
        </is>
      </c>
    </row>
  </sheetData>
  <mergeCells count="3">
    <mergeCell ref="A2:E2"/>
    <mergeCell ref="A1:E1"/>
    <mergeCell ref="A12:E1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42" customWidth="1" min="4" max="4"/>
  </cols>
  <sheetData>
    <row r="1">
      <c r="A1" s="32" t="inlineStr">
        <is>
          <t>Evaluation SOW Economics - Planning Only</t>
        </is>
      </c>
      <c r="B1" s="48" t="n"/>
      <c r="C1" s="48" t="n"/>
      <c r="D1" s="47" t="n"/>
    </row>
    <row r="2">
      <c r="A2" s="35" t="inlineStr">
        <is>
          <t>Planning template only. Do not forecast revenue until a signed SOW defines price, scope, deliverables, ownership, and acceptance criteria.</t>
        </is>
      </c>
      <c r="B2" s="48" t="n"/>
      <c r="C2" s="48" t="n"/>
      <c r="D2" s="47" t="n"/>
    </row>
    <row r="3">
      <c r="A3" s="33" t="n"/>
      <c r="B3" s="33" t="n"/>
      <c r="C3" s="33" t="n"/>
      <c r="D3" s="33" t="n"/>
    </row>
    <row r="4">
      <c r="A4" s="34" t="inlineStr">
        <is>
          <t>Workstream</t>
        </is>
      </c>
      <c r="B4" s="34" t="inlineStr">
        <is>
          <t>What it covers</t>
        </is>
      </c>
      <c r="C4" s="34" t="inlineStr">
        <is>
          <t>Commercial treatment</t>
        </is>
      </c>
      <c r="D4" s="34" t="inlineStr">
        <is>
          <t>Diligence caveat</t>
        </is>
      </c>
    </row>
    <row r="5">
      <c r="A5" s="33" t="inlineStr">
        <is>
          <t>Workload intake</t>
        </is>
      </c>
      <c r="B5" s="33" t="inlineStr">
        <is>
          <t>Representative workload, baseline, painful constraint, and target environment.</t>
        </is>
      </c>
      <c r="C5" s="33" t="inlineStr">
        <is>
          <t>TBD / scoped quote only.</t>
        </is>
      </c>
      <c r="D5" s="33" t="inlineStr">
        <is>
          <t>Not forecast until customer supplies scope and signs terms.</t>
        </is>
      </c>
    </row>
    <row r="6">
      <c r="A6" s="33" t="inlineStr">
        <is>
          <t>Baseline mapping</t>
        </is>
      </c>
      <c r="B6" s="33" t="inlineStr">
        <is>
          <t>Current implementation, state path, trace/logs, and agreed measurement method.</t>
        </is>
      </c>
      <c r="C6" s="33" t="inlineStr">
        <is>
          <t>May be included in scoped evaluation fee.</t>
        </is>
      </c>
      <c r="D6" s="33" t="inlineStr">
        <is>
          <t>Requires customer artifacts; no customer-value claim without baseline.</t>
        </is>
      </c>
    </row>
    <row r="7">
      <c r="A7" s="33" t="inlineStr">
        <is>
          <t>Success metric definition</t>
        </is>
      </c>
      <c r="B7" s="33" t="inlineStr">
        <is>
          <t>One primary metric and decision threshold.</t>
        </is>
      </c>
      <c r="C7" s="33" t="inlineStr">
        <is>
          <t>Included in evaluation scope.</t>
        </is>
      </c>
      <c r="D7" s="33" t="inlineStr">
        <is>
          <t>Metric must preserve correctness and map to buyer pain.</t>
        </is>
      </c>
    </row>
    <row r="8">
      <c r="A8" s="33" t="inlineStr">
        <is>
          <t>Test harness / artifacts</t>
        </is>
      </c>
      <c r="B8" s="33" t="inlineStr">
        <is>
          <t>Trace replay, baseline vs ATOMiK path, raw logs, proof card, and claims entry.</t>
        </is>
      </c>
      <c r="C8" s="33" t="inlineStr">
        <is>
          <t>Potential material customer-funded proof path.</t>
        </is>
      </c>
      <c r="D8" s="33" t="inlineStr">
        <is>
          <t>No public claim unless correctness passes and artifacts are reproducible.</t>
        </is>
      </c>
    </row>
    <row r="9">
      <c r="A9" s="33" t="inlineStr">
        <is>
          <t>Readout</t>
        </is>
      </c>
      <c r="B9" s="33" t="inlineStr">
        <is>
          <t>Workload map, baseline comparison, evidence map, fit/no-fit recommendation.</t>
        </is>
      </c>
      <c r="C9" s="33" t="inlineStr">
        <is>
          <t>Deliverable of technical evaluation.</t>
        </is>
      </c>
      <c r="D9" s="33" t="inlineStr">
        <is>
          <t>Fit/no-fit is a valid outcome; do not promise positive results.</t>
        </is>
      </c>
    </row>
    <row r="10">
      <c r="A10" s="33" t="inlineStr">
        <is>
          <t>Partner-funded proof work</t>
        </is>
      </c>
      <c r="B10" s="33" t="inlineStr">
        <is>
          <t>Optional deeper integration after proof review.</t>
        </is>
      </c>
      <c r="C10" s="33" t="inlineStr">
        <is>
          <t>Request-based SOW.</t>
        </is>
      </c>
      <c r="D10" s="33" t="inlineStr">
        <is>
          <t>Requires counsel review for IP, confidentiality, and ownership.</t>
        </is>
      </c>
    </row>
    <row r="11">
      <c r="A11" s="33" t="inlineStr">
        <is>
          <t>Accounting treatment</t>
        </is>
      </c>
      <c r="B11" s="33" t="inlineStr">
        <is>
          <t>Revenue recognition and booking treatment.</t>
        </is>
      </c>
      <c r="C11" s="33" t="inlineStr">
        <is>
          <t>Pending CFO/accounting.</t>
        </is>
      </c>
      <c r="D11" s="33" t="inlineStr">
        <is>
          <t>Do not model until signed SOW and accounting review.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54" customWidth="1" min="4" max="4"/>
  </cols>
  <sheetData>
    <row r="1" ht="24" customHeight="1">
      <c r="A1" s="49" t="inlineStr">
        <is>
          <t>ATOMiK Founder-Prepared Revenue Scenario</t>
        </is>
      </c>
    </row>
    <row r="2" ht="24" customHeight="1">
      <c r="A2" s="50" t="inlineStr">
        <is>
          <t>Planning scenario for investor discussion. Not a forecast; revenue depends on signed SOWs, measured workload proof, and partner diligence.</t>
        </is>
      </c>
    </row>
    <row r="3" ht="24" customHeight="1"/>
    <row r="4" ht="30" customHeight="1">
      <c r="A4" s="51" t="inlineStr">
        <is>
          <t>Window</t>
        </is>
      </c>
      <c r="B4" s="51" t="inlineStr">
        <is>
          <t>Commercial motion</t>
        </is>
      </c>
      <c r="C4" s="51" t="inlineStr">
        <is>
          <t>Planning revenue range</t>
        </is>
      </c>
      <c r="D4" s="51" t="inlineStr">
        <is>
          <t>Required evidence gate</t>
        </is>
      </c>
    </row>
    <row r="5" ht="30" customHeight="1">
      <c r="A5" s="52" t="inlineStr">
        <is>
          <t>0-6 months</t>
        </is>
      </c>
      <c r="B5" s="52" t="inlineStr">
        <is>
          <t>Qualified proof reviews / technical evaluations</t>
        </is>
      </c>
      <c r="C5" s="52" t="inlineStr">
        <is>
          <t>$0-$150K</t>
        </is>
      </c>
      <c r="D5" s="52" t="inlineStr">
        <is>
          <t>Customer workload candidate, baseline, and success metric defined</t>
        </is>
      </c>
    </row>
    <row r="6" ht="30" customHeight="1">
      <c r="A6" s="52" t="inlineStr">
        <is>
          <t>6-12 months</t>
        </is>
      </c>
      <c r="B6" s="52" t="inlineStr">
        <is>
          <t>2-3 paid evaluation or design-partner SOWs</t>
        </is>
      </c>
      <c r="C6" s="52" t="inlineStr">
        <is>
          <t>$250K-$750K</t>
        </is>
      </c>
      <c r="D6" s="52" t="inlineStr">
        <is>
          <t>Signed SOWs, correctness-preserving test plan, measured readout artifact</t>
        </is>
      </c>
    </row>
    <row r="7" ht="30" customHeight="1">
      <c r="A7" s="52" t="inlineStr">
        <is>
          <t>12-24 months</t>
        </is>
      </c>
      <c r="B7" s="52" t="inlineStr">
        <is>
          <t>1-2 licensing or design-partner conversions if proof holds</t>
        </is>
      </c>
      <c r="C7" s="52" t="inlineStr">
        <is>
          <t>$1M-$3M potential contracted value</t>
        </is>
      </c>
      <c r="D7" s="52" t="inlineStr">
        <is>
          <t>Measured workload proof, IP diligence, and partner decision record</t>
        </is>
      </c>
    </row>
    <row r="8" ht="30" customHeight="1">
      <c r="A8" s="52" t="inlineStr">
        <is>
          <t>24-36 months</t>
        </is>
      </c>
      <c r="B8" s="52" t="inlineStr">
        <is>
          <t>1-3 IP/license relationships if proof and economics hold</t>
        </is>
      </c>
      <c r="C8" s="52" t="inlineStr">
        <is>
          <t>$3M-$8M annualized potential</t>
        </is>
      </c>
      <c r="D8" s="52" t="inlineStr">
        <is>
          <t>Counsel-reviewed IP packet, feasibility review, and customer evidence</t>
        </is>
      </c>
    </row>
    <row r="9" ht="30" customHeight="1"/>
    <row r="10" ht="30" customHeight="1"/>
    <row r="11" ht="30" customHeight="1">
      <c r="A11" s="53" t="inlineStr">
        <is>
          <t>Planning assumptions</t>
        </is>
      </c>
    </row>
    <row r="12" ht="30" customHeight="1">
      <c r="A12" s="54" t="inlineStr">
        <is>
          <t>Planning status</t>
        </is>
      </c>
      <c r="B12" s="52" t="inlineStr">
        <is>
          <t>Founder-prepared scenario, not forecast. Pending CFO/counsel review.</t>
        </is>
      </c>
      <c r="C12" s="52" t="n"/>
      <c r="D12" s="52" t="n"/>
    </row>
    <row r="13" ht="30" customHeight="1">
      <c r="A13" s="54" t="inlineStr">
        <is>
          <t>Proof review / technical evaluation</t>
        </is>
      </c>
      <c r="B13" s="52" t="inlineStr">
        <is>
          <t>Potential $25K-$75K scoped work when paid and appropriate.</t>
        </is>
      </c>
      <c r="C13" s="52" t="n"/>
      <c r="D13" s="52" t="n"/>
    </row>
    <row r="14" ht="30" customHeight="1">
      <c r="A14" s="54" t="inlineStr">
        <is>
          <t>Design partner validation</t>
        </is>
      </c>
      <c r="B14" s="52" t="inlineStr">
        <is>
          <t>Potential $100K-$250K scoped validation/integration when paid and appropriate.</t>
        </is>
      </c>
      <c r="C14" s="52" t="n"/>
      <c r="D14" s="52" t="n"/>
    </row>
    <row r="15" ht="30" customHeight="1">
      <c r="A15" s="54" t="inlineStr">
        <is>
          <t>Licensing model</t>
        </is>
      </c>
      <c r="B15" s="52" t="inlineStr">
        <is>
          <t>Upfront licensing plus per-unit royalty only if measured proof and partner diligence support it.</t>
        </is>
      </c>
      <c r="C15" s="52" t="n"/>
      <c r="D15" s="52" t="n"/>
    </row>
    <row r="16" ht="30" customHeight="1">
      <c r="A16" s="54" t="inlineStr">
        <is>
          <t>Do not claim</t>
        </is>
      </c>
      <c r="B16" s="52" t="inlineStr">
        <is>
          <t>Booked revenue, committed pipeline, guaranteed ROI, or customer savings.</t>
        </is>
      </c>
      <c r="C16" s="52" t="n"/>
      <c r="D16" s="52" t="n"/>
    </row>
  </sheetData>
  <mergeCells count="8">
    <mergeCell ref="A1:D1"/>
    <mergeCell ref="B14:D14"/>
    <mergeCell ref="B15:D15"/>
    <mergeCell ref="B13:D13"/>
    <mergeCell ref="A2:D2"/>
    <mergeCell ref="A11:D11"/>
    <mergeCell ref="B12:D12"/>
    <mergeCell ref="B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8" customWidth="1" min="3" max="3"/>
    <col width="28" customWidth="1" min="4" max="4"/>
    <col width="42" customWidth="1" min="5" max="5"/>
  </cols>
  <sheetData>
    <row r="1">
      <c r="A1" s="32" t="inlineStr">
        <is>
          <t>18-Month Milestone Gates</t>
        </is>
      </c>
      <c r="B1" s="48" t="n"/>
      <c r="C1" s="48" t="n"/>
      <c r="D1" s="48" t="n"/>
      <c r="E1" s="47" t="n"/>
    </row>
    <row r="2">
      <c r="A2" s="34" t="inlineStr">
        <is>
          <t>Window</t>
        </is>
      </c>
      <c r="B2" s="34" t="inlineStr">
        <is>
          <t>Milestone</t>
        </is>
      </c>
      <c r="C2" s="34" t="inlineStr">
        <is>
          <t>Budget Owner</t>
        </is>
      </c>
      <c r="D2" s="34" t="inlineStr">
        <is>
          <t>Evidence Gate</t>
        </is>
      </c>
      <c r="E2" s="34" t="inlineStr">
        <is>
          <t>Investor Readout</t>
        </is>
      </c>
    </row>
    <row r="3">
      <c r="A3" s="35" t="inlineStr">
        <is>
          <t>0-30 days</t>
        </is>
      </c>
      <c r="B3" s="35" t="inlineStr">
        <is>
          <t>Lock financing structure, counsel plan, design-partner target list.</t>
        </is>
      </c>
      <c r="C3" s="35" t="inlineStr">
        <is>
          <t>Finance / Legal</t>
        </is>
      </c>
      <c r="D3" s="35" t="inlineStr">
        <is>
          <t>CFO/counsel reviewed plan.</t>
        </is>
      </c>
      <c r="E3" s="35" t="inlineStr">
        <is>
          <t>Terms are ready to circulate; no improvised cap.</t>
        </is>
      </c>
    </row>
    <row r="4">
      <c r="A4" s="35" t="inlineStr">
        <is>
          <t>30-60 days</t>
        </is>
      </c>
      <c r="B4" s="35" t="inlineStr">
        <is>
          <t>Harden Zynq demo into repeatable package.</t>
        </is>
      </c>
      <c r="C4" s="35" t="inlineStr">
        <is>
          <t>Engineering</t>
        </is>
      </c>
      <c r="D4" s="35" t="inlineStr">
        <is>
          <t>Demo checklist and current artifact bundle.</t>
        </is>
      </c>
      <c r="E4" s="35" t="inlineStr">
        <is>
          <t>Prototype proof is lower-friction and repeatable.</t>
        </is>
      </c>
    </row>
    <row r="5">
      <c r="A5" s="33" t="inlineStr">
        <is>
          <t>60-90 days</t>
        </is>
      </c>
      <c r="B5" s="33" t="inlineStr">
        <is>
          <t>Define first customer workload and baseline plan.</t>
        </is>
      </c>
      <c r="C5" s="33" t="inlineStr">
        <is>
          <t>Customer Proof</t>
        </is>
      </c>
      <c r="D5" s="33" t="inlineStr">
        <is>
          <t>Evaluation SOW and one success metric.</t>
        </is>
      </c>
      <c r="E5" s="33" t="inlineStr">
        <is>
          <t>Qualified workload exists or no-fit is documented.</t>
        </is>
      </c>
    </row>
    <row r="6">
      <c r="A6" s="33" t="inlineStr">
        <is>
          <t>90-180 days</t>
        </is>
      </c>
      <c r="B6" s="33" t="inlineStr">
        <is>
          <t>Produce first measured workload artifact.</t>
        </is>
      </c>
      <c r="C6" s="33" t="inlineStr">
        <is>
          <t>Customer Proof / Engineering</t>
        </is>
      </c>
      <c r="D6" s="33" t="inlineStr">
        <is>
          <t>Correctness-preserving workload result.</t>
        </is>
      </c>
      <c r="E6" s="33" t="inlineStr">
        <is>
          <t>Evidence-backed customer-value claim for one workload.</t>
        </is>
      </c>
    </row>
    <row r="7">
      <c r="A7" s="33" t="inlineStr">
        <is>
          <t>6-9 months</t>
        </is>
      </c>
      <c r="B7" s="33" t="inlineStr">
        <is>
          <t>Convert artifact into paid evaluation, LOI, or no-fit decision.</t>
        </is>
      </c>
      <c r="C7" s="33" t="inlineStr">
        <is>
          <t>GTM / Customer Proof</t>
        </is>
      </c>
      <c r="D7" s="33" t="inlineStr">
        <is>
          <t>Customer decision record.</t>
        </is>
      </c>
      <c r="E7" s="33" t="inlineStr">
        <is>
          <t>Early commercial signal or disciplined learning.</t>
        </is>
      </c>
    </row>
    <row r="8">
      <c r="A8" s="33" t="inlineStr">
        <is>
          <t>9-12 months</t>
        </is>
      </c>
      <c r="B8" s="33" t="inlineStr">
        <is>
          <t>Complete ASIC feasibility scope and IP diligence packet.</t>
        </is>
      </c>
      <c r="C8" s="33" t="inlineStr">
        <is>
          <t>ASIC / Legal</t>
        </is>
      </c>
      <c r="D8" s="33" t="inlineStr">
        <is>
          <t>Mentor-reviewed feasibility and counsel-reviewed IP memo.</t>
        </is>
      </c>
      <c r="E8" s="33" t="inlineStr">
        <is>
          <t>Silicon path is scoped without tape-out spend.</t>
        </is>
      </c>
    </row>
    <row r="9">
      <c r="A9" s="33" t="inlineStr">
        <is>
          <t>12-18-24 months</t>
        </is>
      </c>
      <c r="B9" s="33" t="inlineStr">
        <is>
          <t>Prepare next financing or strategic partner process.</t>
        </is>
      </c>
      <c r="C9" s="33" t="inlineStr">
        <is>
          <t>Finance / GTM</t>
        </is>
      </c>
      <c r="D9" s="33" t="inlineStr">
        <is>
          <t>Measured proof, partner pipeline, IP packet.</t>
        </is>
      </c>
      <c r="E9" s="33" t="inlineStr">
        <is>
          <t>Next-round or strategic diligence package.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46" customWidth="1" min="6" max="6"/>
  </cols>
  <sheetData>
    <row r="1">
      <c r="A1" s="32" t="inlineStr">
        <is>
          <t>Post-Money SAFE Dilution Sensitivity - Illustrative Only</t>
        </is>
      </c>
      <c r="B1" s="48" t="n"/>
      <c r="C1" s="48" t="n"/>
      <c r="D1" s="48" t="n"/>
      <c r="E1" s="48" t="n"/>
      <c r="F1" s="47" t="n"/>
    </row>
    <row r="2">
      <c r="A2" s="35" t="inlineStr">
        <is>
          <t>Not a valuation recommendation. Shows ownership sold under illustrative SAFE cap math before option-pool changes, prior instruments, side letters, or priced-round mechanics.</t>
        </is>
      </c>
      <c r="B2" s="48" t="n"/>
      <c r="C2" s="48" t="n"/>
      <c r="D2" s="48" t="n"/>
      <c r="E2" s="48" t="n"/>
      <c r="F2" s="47" t="n"/>
    </row>
    <row r="3">
      <c r="A3" s="33" t="n"/>
      <c r="B3" s="33" t="n"/>
      <c r="C3" s="33" t="n"/>
      <c r="D3" s="33" t="n"/>
      <c r="E3" s="33" t="n"/>
      <c r="F3" s="33" t="n"/>
    </row>
    <row r="4">
      <c r="A4" s="34" t="inlineStr">
        <is>
          <t>Post-Money Cap</t>
        </is>
      </c>
      <c r="B4" s="34" t="inlineStr">
        <is>
          <t>$3M Staged</t>
        </is>
      </c>
      <c r="C4" s="34" t="inlineStr">
        <is>
          <t>$5M Target</t>
        </is>
      </c>
      <c r="D4" s="34" t="inlineStr">
        <is>
          <t>$7.5M Expanded</t>
        </is>
      </c>
      <c r="E4" s="34" t="inlineStr">
        <is>
          <t>Founder Before Pool (Target)</t>
        </is>
      </c>
      <c r="F4" s="34" t="inlineStr">
        <is>
          <t>Use In Room</t>
        </is>
      </c>
    </row>
    <row r="5">
      <c r="A5" s="38" t="n">
        <v>8000000</v>
      </c>
      <c r="B5" s="39">
        <f>3000000/A5</f>
        <v/>
      </c>
      <c r="C5" s="39">
        <f>5000000/A5</f>
        <v/>
      </c>
      <c r="D5" s="39">
        <f>7500000/A5</f>
        <v/>
      </c>
      <c r="E5" s="39">
        <f>1-C5</f>
        <v/>
      </c>
      <c r="F5" s="33" t="inlineStr">
        <is>
          <t>CFO/counsel must set actual cap; do not offer in room.</t>
        </is>
      </c>
    </row>
    <row r="6">
      <c r="A6" s="38" t="n">
        <v>10000000</v>
      </c>
      <c r="B6" s="39">
        <f>3000000/A6</f>
        <v/>
      </c>
      <c r="C6" s="39">
        <f>5000000/A6</f>
        <v/>
      </c>
      <c r="D6" s="39">
        <f>7500000/A6</f>
        <v/>
      </c>
      <c r="E6" s="39">
        <f>1-C6</f>
        <v/>
      </c>
      <c r="F6" s="33" t="inlineStr">
        <is>
          <t>CFO/counsel must set actual cap; do not offer in room.</t>
        </is>
      </c>
    </row>
    <row r="7">
      <c r="A7" s="38" t="n">
        <v>12000000</v>
      </c>
      <c r="B7" s="39">
        <f>3000000/A7</f>
        <v/>
      </c>
      <c r="C7" s="39">
        <f>5000000/A7</f>
        <v/>
      </c>
      <c r="D7" s="39">
        <f>7500000/A7</f>
        <v/>
      </c>
      <c r="E7" s="39">
        <f>1-C7</f>
        <v/>
      </c>
      <c r="F7" s="33" t="inlineStr">
        <is>
          <t>CFO/counsel must set actual cap; do not offer in room.</t>
        </is>
      </c>
    </row>
    <row r="8">
      <c r="A8" s="38" t="n">
        <v>15000000</v>
      </c>
      <c r="B8" s="39">
        <f>3000000/A8</f>
        <v/>
      </c>
      <c r="C8" s="39">
        <f>5000000/A8</f>
        <v/>
      </c>
      <c r="D8" s="39">
        <f>7500000/A8</f>
        <v/>
      </c>
      <c r="E8" s="39">
        <f>1-C8</f>
        <v/>
      </c>
      <c r="F8" s="33" t="inlineStr">
        <is>
          <t>CFO/counsel must set actual cap; do not offer in room.</t>
        </is>
      </c>
    </row>
    <row r="9">
      <c r="A9" s="38" t="n">
        <v>18000000</v>
      </c>
      <c r="B9" s="39">
        <f>3000000/A9</f>
        <v/>
      </c>
      <c r="C9" s="39">
        <f>5000000/A9</f>
        <v/>
      </c>
      <c r="D9" s="39">
        <f>7500000/A9</f>
        <v/>
      </c>
      <c r="E9" s="39">
        <f>1-C9</f>
        <v/>
      </c>
      <c r="F9" s="33" t="inlineStr">
        <is>
          <t>CFO/counsel must set actual cap; do not offer in room.</t>
        </is>
      </c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>
      <c r="A12" s="33" t="inlineStr">
        <is>
          <t>Rule of thumb: at a $25M post-money cap, a $5M SAFE implies 20.0% SAFE ownership before option-pool and later-round effects. This is sensitivity math, not a cap recommendation.</t>
        </is>
      </c>
      <c r="B12" s="48" t="n"/>
      <c r="C12" s="48" t="n"/>
      <c r="D12" s="48" t="n"/>
      <c r="E12" s="48" t="n"/>
      <c r="F12" s="47" t="n"/>
    </row>
  </sheetData>
  <mergeCells count="3">
    <mergeCell ref="A2:F2"/>
    <mergeCell ref="A1:F1"/>
    <mergeCell ref="A12:F1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  <col width="34" customWidth="1" min="4" max="4"/>
    <col width="56" customWidth="1" min="5" max="5"/>
  </cols>
  <sheetData>
    <row r="1">
      <c r="A1" s="32" t="inlineStr">
        <is>
          <t>Market Context - Source-Backed Reference Data</t>
        </is>
      </c>
      <c r="B1" s="48" t="n"/>
      <c r="C1" s="48" t="n"/>
      <c r="D1" s="48" t="n"/>
      <c r="E1" s="47" t="n"/>
    </row>
    <row r="2">
      <c r="A2" s="34" t="inlineStr">
        <is>
          <t>Metric</t>
        </is>
      </c>
      <c r="B2" s="34" t="inlineStr">
        <is>
          <t>Current</t>
        </is>
      </c>
      <c r="C2" s="34" t="inlineStr">
        <is>
          <t>Projected / Context</t>
        </is>
      </c>
      <c r="D2" s="34" t="inlineStr">
        <is>
          <t>Source / Use</t>
        </is>
      </c>
      <c r="E2" s="34" t="inlineStr">
        <is>
          <t>Primary source URL</t>
        </is>
      </c>
    </row>
    <row r="3">
      <c r="A3" s="35" t="inlineStr">
        <is>
          <t>Global data-center energy</t>
        </is>
      </c>
      <c r="B3" s="35" t="inlineStr">
        <is>
          <t>415 TWh (2024)</t>
        </is>
      </c>
      <c r="C3" s="35" t="inlineStr">
        <is>
          <t>~945 TWh by 2030</t>
        </is>
      </c>
      <c r="D3" s="35" t="inlineStr">
        <is>
          <t>IEA Energy and AI. Why-now context only.</t>
        </is>
      </c>
      <c r="E3" s="35" t="inlineStr">
        <is>
          <t>https://www.iea.org/reports/energy-and-ai/energy-demand-from-ai</t>
        </is>
      </c>
    </row>
    <row r="4">
      <c r="A4" s="35" t="inlineStr">
        <is>
          <t>U.S. data-center energy</t>
        </is>
      </c>
      <c r="B4" s="35" t="inlineStr">
        <is>
          <t>176 TWh (2023)</t>
        </is>
      </c>
      <c r="C4" s="35" t="inlineStr">
        <is>
          <t>325-580 TWh (2028)</t>
        </is>
      </c>
      <c r="D4" s="35" t="inlineStr">
        <is>
          <t>LBNL 2024 U.S. Data Center Report.</t>
        </is>
      </c>
      <c r="E4" s="35" t="inlineStr">
        <is>
          <t>https://eta-publications.lbl.gov/sites/default/files/2024-12/lbnl-2024-united-states-data-center-energy-usage-report_1.pdf</t>
        </is>
      </c>
    </row>
    <row r="5">
      <c r="A5" s="33" t="inlineStr">
        <is>
          <t>U.S. data-center cooling water</t>
        </is>
      </c>
      <c r="B5" s="33" t="inlineStr">
        <is>
          <t>66B liters (2023)</t>
        </is>
      </c>
      <c r="C5" s="33" t="inlineStr">
        <is>
          <t>60-124B liters hyperscale direct use (2028)</t>
        </is>
      </c>
      <c r="D5" s="33" t="inlineStr">
        <is>
          <t>LBNL. Water savings require site-specific proof.</t>
        </is>
      </c>
      <c r="E5" s="46" t="inlineStr">
        <is>
          <t>https://eta-publications.lbl.gov/sites/default/files/2024-12/lbnl-2024-united-states-data-center-energy-usage-report_1.pdf</t>
        </is>
      </c>
    </row>
    <row r="6">
      <c r="A6" s="33" t="inlineStr">
        <is>
          <t>Global semiconductor sales</t>
        </is>
      </c>
      <c r="B6" s="33" t="inlineStr">
        <is>
          <t>$791.7B (2025)</t>
        </is>
      </c>
      <c r="C6" s="33" t="inlineStr">
        <is>
          <t>Q1 2026 sales $298.5B</t>
        </is>
      </c>
      <c r="D6" s="33" t="inlineStr">
        <is>
          <t>SIA. Backdrop only; not ATOMiK TAM.</t>
        </is>
      </c>
      <c r="E6" s="46" t="inlineStr">
        <is>
          <t>https://www.semiconductors.org/global-annual-semiconductor-sales-increase-25-6-to-791-7-billion-in-2025/; https://www.semiconductors.org/global-semiconductor-sales-increase-25-from-q4-2025-to-q1-2026/</t>
        </is>
      </c>
    </row>
    <row r="7">
      <c r="A7" s="33" t="inlineStr">
        <is>
          <t>U.S. pre-seed market</t>
        </is>
      </c>
      <c r="B7" s="33" t="inlineStr">
        <is>
          <t>~3,000 Carta startups / &gt;$2.3B in Q1 2026</t>
        </is>
      </c>
      <c r="C7" s="33" t="inlineStr">
        <is>
          <t>Expected final total around $2.9B</t>
        </is>
      </c>
      <c r="D7" s="33" t="inlineStr">
        <is>
          <t>Carta. Financing context only.</t>
        </is>
      </c>
      <c r="E7" s="46" t="inlineStr">
        <is>
          <t>https://carta.com/sg/en/data/state-of-pre-seed-q1-2026/</t>
        </is>
      </c>
    </row>
    <row r="8">
      <c r="A8" s="33" t="inlineStr">
        <is>
          <t>U.S. seed valuation benchmark</t>
        </is>
      </c>
      <c r="B8" s="33" t="inlineStr">
        <is>
          <t>$18.4M median pre-money</t>
        </is>
      </c>
      <c r="C8" s="33" t="inlineStr">
        <is>
          <t>Q1 2026</t>
        </is>
      </c>
      <c r="D8" s="33" t="inlineStr">
        <is>
          <t>PitchBook/NVCA. Not ATOMiK valuation.</t>
        </is>
      </c>
      <c r="E8" s="46" t="inlineStr">
        <is>
          <t>https://nvca.org/wp-content/uploads/2026/04/Q1-2026-PitchBook-NVCA-Venture-Monitor.pdf</t>
        </is>
      </c>
    </row>
    <row r="9">
      <c r="A9" s="33" t="inlineStr">
        <is>
          <t>U.S. seed deal-size benchmark</t>
        </is>
      </c>
      <c r="B9" s="33" t="inlineStr">
        <is>
          <t>$3.0M median deal value</t>
        </is>
      </c>
      <c r="C9" s="33" t="inlineStr">
        <is>
          <t>Q1 2026</t>
        </is>
      </c>
      <c r="D9" s="33" t="inlineStr">
        <is>
          <t>PitchBook/NVCA. Supports disciplined $2M ask.</t>
        </is>
      </c>
      <c r="E9" s="46" t="inlineStr">
        <is>
          <t>https://nvca.org/wp-content/uploads/2026/04/Q1-2026-PitchBook-NVCA-Venture-Monitor.pdf</t>
        </is>
      </c>
    </row>
    <row r="10">
      <c r="A10" s="33" t="inlineStr">
        <is>
          <t>Accelerator comparables</t>
        </is>
      </c>
      <c r="B10" s="33" t="inlineStr">
        <is>
          <t>YC $500K; Techstars $220K</t>
        </is>
      </c>
      <c r="C10" s="33" t="inlineStr">
        <is>
          <t>Different program structures</t>
        </is>
      </c>
      <c r="D10" s="33" t="inlineStr">
        <is>
          <t>Dilution context; not direct round comps.</t>
        </is>
      </c>
      <c r="E10" s="46" t="inlineStr">
        <is>
          <t>https://www.ycombinator.com/deal; https://www.techstars.com/newsroom/investment-terms</t>
        </is>
      </c>
    </row>
    <row r="11">
      <c r="A11" s="33" t="inlineStr">
        <is>
          <t>ASIC cost discipline</t>
        </is>
      </c>
      <c r="B11" s="33" t="inlineStr">
        <is>
          <t>NRE varies by design, node, IP, EDA, mask, packaging, test</t>
        </is>
      </c>
      <c r="C11" s="33" t="inlineStr">
        <is>
          <t>Use feasibility-first framing</t>
        </is>
      </c>
      <c r="D11" s="33" t="inlineStr">
        <is>
          <t>AnySilicon. Avoid false precision before expert quote.</t>
        </is>
      </c>
      <c r="E11" s="46" t="inlineStr">
        <is>
          <t>https://anysilicon.com/semiconductor-manufacturing-cost-breakdown/; https://anysilicon.com/asic-nre-explained/</t>
        </is>
      </c>
    </row>
    <row r="12">
      <c r="A12" s="33" t="n"/>
      <c r="B12" s="33" t="n"/>
      <c r="C12" s="33" t="n"/>
      <c r="D12" s="33" t="n"/>
      <c r="E12" s="33" t="n"/>
    </row>
    <row r="13">
      <c r="A13" s="33" t="inlineStr">
        <is>
          <t>Market figures support why-now and financing context. They do not prove ATOMiK savings, customer demand, or valuation.</t>
        </is>
      </c>
      <c r="B13" s="48" t="n"/>
      <c r="C13" s="48" t="n"/>
      <c r="D13" s="48" t="n"/>
      <c r="E13" s="47" t="n"/>
    </row>
  </sheetData>
  <mergeCells count="2">
    <mergeCell ref="A1:E1"/>
    <mergeCell ref="A13:E13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2" customWidth="1" min="4" max="4"/>
    <col width="54" customWidth="1" min="5" max="5"/>
  </cols>
  <sheetData>
    <row r="1">
      <c r="A1" s="32" t="inlineStr">
        <is>
          <t>Cap Table - Draft Placeholder / Counsel Review Required</t>
        </is>
      </c>
      <c r="B1" s="48" t="n"/>
      <c r="C1" s="48" t="n"/>
      <c r="D1" s="48" t="n"/>
      <c r="E1" s="47" t="n"/>
    </row>
    <row r="2">
      <c r="A2" s="33" t="n"/>
      <c r="B2" s="33" t="n"/>
      <c r="C2" s="33" t="n"/>
      <c r="D2" s="33" t="n"/>
      <c r="E2" s="33" t="n"/>
    </row>
    <row r="3">
      <c r="A3" s="34" t="inlineStr">
        <is>
          <t>Holder</t>
        </is>
      </c>
      <c r="B3" s="34" t="inlineStr">
        <is>
          <t>Security</t>
        </is>
      </c>
      <c r="C3" s="34" t="inlineStr">
        <is>
          <t>Shares</t>
        </is>
      </c>
      <c r="D3" s="34" t="inlineStr">
        <is>
          <t>Current Status</t>
        </is>
      </c>
      <c r="E3" s="34" t="inlineStr">
        <is>
          <t>Required Before Close</t>
        </is>
      </c>
    </row>
    <row r="4">
      <c r="A4" s="35" t="inlineStr">
        <is>
          <t>Matthew Rockwell (Founder)</t>
        </is>
      </c>
      <c r="B4" s="35" t="inlineStr">
        <is>
          <t>Common</t>
        </is>
      </c>
      <c r="C4" s="35" t="inlineStr">
        <is>
          <t>TBD</t>
        </is>
      </c>
      <c r="D4" s="35" t="inlineStr">
        <is>
          <t>Founder / pre-close</t>
        </is>
      </c>
      <c r="E4" s="35" t="inlineStr">
        <is>
          <t>Incorporation, stock issuance, founder IP assignment.</t>
        </is>
      </c>
    </row>
    <row r="5">
      <c r="A5" s="33" t="inlineStr">
        <is>
          <t>ESOP / Option Pool</t>
        </is>
      </c>
      <c r="B5" s="33" t="inlineStr">
        <is>
          <t>Common reserved</t>
        </is>
      </c>
      <c r="C5" s="33" t="inlineStr">
        <is>
          <t>TBD</t>
        </is>
      </c>
      <c r="D5" s="33" t="inlineStr">
        <is>
          <t>To be created</t>
        </is>
      </c>
      <c r="E5" s="33" t="inlineStr">
        <is>
          <t>CFO/counsel sizing; likely 10-15% discussion, not commitment.</t>
        </is>
      </c>
    </row>
    <row r="6">
      <c r="A6" s="33" t="inlineStr">
        <is>
          <t>Pre-Seed Investors</t>
        </is>
      </c>
      <c r="B6" s="33" t="inlineStr">
        <is>
          <t>Planned SAFE</t>
        </is>
      </c>
      <c r="C6" s="33" t="inlineStr">
        <is>
          <t>N/A</t>
        </is>
      </c>
      <c r="D6" s="33" t="inlineStr">
        <is>
          <t>Planned</t>
        </is>
      </c>
      <c r="E6" s="33" t="inlineStr">
        <is>
          <t>Final SAFE terms, cap, discount, pro-rata, side letters.</t>
        </is>
      </c>
    </row>
    <row r="7">
      <c r="A7" s="33" t="inlineStr">
        <is>
          <t>Prior instruments</t>
        </is>
      </c>
      <c r="B7" s="33" t="inlineStr">
        <is>
          <t>TBD</t>
        </is>
      </c>
      <c r="C7" s="33" t="inlineStr">
        <is>
          <t>TBD</t>
        </is>
      </c>
      <c r="D7" s="33" t="inlineStr">
        <is>
          <t>Must verify</t>
        </is>
      </c>
      <c r="E7" s="33" t="inlineStr">
        <is>
          <t>Confirm no hidden notes, grants, IP obligations, or advisor promises.</t>
        </is>
      </c>
    </row>
    <row r="8">
      <c r="A8" s="33" t="n"/>
      <c r="B8" s="33" t="n"/>
      <c r="C8" s="33" t="n"/>
      <c r="D8" s="33" t="n"/>
      <c r="E8" s="33" t="n"/>
    </row>
    <row r="9">
      <c r="A9" s="33" t="n"/>
      <c r="B9" s="33" t="n"/>
      <c r="C9" s="33" t="n"/>
      <c r="D9" s="33" t="n"/>
      <c r="E9" s="33" t="n"/>
    </row>
    <row r="10">
      <c r="A10" s="33" t="inlineStr">
        <is>
          <t>Do not share this as a formal cap table. It is a diligence checklist until entity formation, stock issuance, and counsel-reviewed records are complete.</t>
        </is>
      </c>
      <c r="B10" s="48" t="n"/>
      <c r="C10" s="48" t="n"/>
      <c r="D10" s="48" t="n"/>
      <c r="E10" s="47" t="n"/>
    </row>
  </sheetData>
  <mergeCells count="2">
    <mergeCell ref="A1:E1"/>
    <mergeCell ref="A10:E10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2" customWidth="1" min="3" max="3"/>
  </cols>
  <sheetData>
    <row r="1">
      <c r="A1" s="32" t="inlineStr">
        <is>
          <t>Unmodeled / CFO Estimate Needed</t>
        </is>
      </c>
      <c r="B1" s="48" t="n"/>
      <c r="C1" s="47" t="n"/>
    </row>
    <row r="2">
      <c r="A2" s="35" t="inlineStr">
        <is>
          <t>These are visible diligence gaps, not hidden costs. Estimate with CFO/accounting/counsel before final model distribution.</t>
        </is>
      </c>
      <c r="B2" s="48" t="n"/>
      <c r="C2" s="47" t="n"/>
    </row>
    <row r="3">
      <c r="A3" s="33" t="n"/>
      <c r="B3" s="33" t="n"/>
      <c r="C3" s="33" t="n"/>
    </row>
    <row r="4">
      <c r="A4" s="34" t="inlineStr">
        <is>
          <t>Item</t>
        </is>
      </c>
      <c r="B4" s="34" t="inlineStr">
        <is>
          <t>Why it matters</t>
        </is>
      </c>
      <c r="C4" s="34" t="inlineStr">
        <is>
          <t>Current treatment</t>
        </is>
      </c>
    </row>
    <row r="5">
      <c r="A5" s="33" t="inlineStr">
        <is>
          <t>Payroll taxes</t>
        </is>
      </c>
      <c r="B5" s="33" t="inlineStr">
        <is>
          <t>Affects fully loaded burn.</t>
        </is>
      </c>
      <c r="C5" s="33" t="inlineStr">
        <is>
          <t>Not separately modeled; included only as broad finance/ops planning.</t>
        </is>
      </c>
    </row>
    <row r="6">
      <c r="A6" s="33" t="inlineStr">
        <is>
          <t>Benefits</t>
        </is>
      </c>
      <c r="B6" s="33" t="inlineStr">
        <is>
          <t>Hiring costs differ materially by role and timing.</t>
        </is>
      </c>
      <c r="C6" s="33" t="inlineStr">
        <is>
          <t>Requires CFO/accounting estimate before hiring plan is shared.</t>
        </is>
      </c>
    </row>
    <row r="7">
      <c r="A7" s="33" t="inlineStr">
        <is>
          <t>Insurance</t>
        </is>
      </c>
      <c r="B7" s="33" t="inlineStr">
        <is>
          <t>D&amp;O, general liability, cyber, and hardware/customer evaluation coverage may be needed.</t>
        </is>
      </c>
      <c r="C7" s="33" t="inlineStr">
        <is>
          <t>Needs broker quote.</t>
        </is>
      </c>
    </row>
    <row r="8">
      <c r="A8" s="33" t="inlineStr">
        <is>
          <t>Accounting/bookkeeping/tax</t>
        </is>
      </c>
      <c r="B8" s="33" t="inlineStr">
        <is>
          <t>Ongoing reporting and investor-readiness cost.</t>
        </is>
      </c>
      <c r="C8" s="33" t="inlineStr">
        <is>
          <t>Broadly included in Finance/GTM/Ops; estimate needed.</t>
        </is>
      </c>
    </row>
    <row r="9">
      <c r="A9" s="33" t="inlineStr">
        <is>
          <t>Delaware C-Corp conversion</t>
        </is>
      </c>
      <c r="B9" s="33" t="inlineStr">
        <is>
          <t>Required for VC-ready close path if counsel chooses conversion/formation.</t>
        </is>
      </c>
      <c r="C9" s="33" t="inlineStr">
        <is>
          <t>Legal budget allocation exists; exact cost pending counsel.</t>
        </is>
      </c>
    </row>
    <row r="10">
      <c r="A10" s="33" t="inlineStr">
        <is>
          <t>Legal close costs</t>
        </is>
      </c>
      <c r="B10" s="33" t="inlineStr">
        <is>
          <t>SAFE review, side letters, cap-table setup, and closing mechanics.</t>
        </is>
      </c>
      <c r="C10" s="33" t="inlineStr">
        <is>
          <t>Pending counsel/CFO.</t>
        </is>
      </c>
    </row>
    <row r="11">
      <c r="A11" s="33" t="inlineStr">
        <is>
          <t>IP prosecution variability</t>
        </is>
      </c>
      <c r="B11" s="33" t="inlineStr">
        <is>
          <t>Patent conversion and prior-art work can vary.</t>
        </is>
      </c>
      <c r="C11" s="33" t="inlineStr">
        <is>
          <t>IP/legal allocation exists; quote needed.</t>
        </is>
      </c>
    </row>
    <row r="12">
      <c r="A12" s="33" t="inlineStr">
        <is>
          <t>FPGA/dev-board/tooling</t>
        </is>
      </c>
      <c r="B12" s="33" t="inlineStr">
        <is>
          <t>Hardware validation may need boards, instruments, tools, and licenses.</t>
        </is>
      </c>
      <c r="C12" s="33" t="inlineStr">
        <is>
          <t>Demo/tooling allocation exists; vendor quotes needed.</t>
        </is>
      </c>
    </row>
    <row r="13">
      <c r="A13" s="33" t="inlineStr">
        <is>
          <t>Cloud/dev infrastructure</t>
        </is>
      </c>
      <c r="B13" s="33" t="inlineStr">
        <is>
          <t>Build, storage, collaboration, and artifact hosting.</t>
        </is>
      </c>
      <c r="C13" s="33" t="inlineStr">
        <is>
          <t>Not separately forecast.</t>
        </is>
      </c>
    </row>
    <row r="14">
      <c r="A14" s="33" t="inlineStr">
        <is>
          <t>Travel/customer evaluation support</t>
        </is>
      </c>
      <c r="B14" s="33" t="inlineStr">
        <is>
          <t>Design-partner work may require on-site support.</t>
        </is>
      </c>
      <c r="C14" s="33" t="inlineStr">
        <is>
          <t>Not separately forecast.</t>
        </is>
      </c>
    </row>
    <row r="15">
      <c r="A15" s="33" t="inlineStr">
        <is>
          <t>Additional contingency</t>
        </is>
      </c>
      <c r="B15" s="33" t="inlineStr">
        <is>
          <t>Reserve may need adjustment after quotes.</t>
        </is>
      </c>
      <c r="C15" s="33" t="inlineStr">
        <is>
          <t>$150K reserve held; not CFO-approved contingency model.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32" t="inlineStr">
        <is>
          <t>Financial Diligence Caveats</t>
        </is>
      </c>
      <c r="B1" s="47" t="n"/>
    </row>
    <row r="2">
      <c r="A2" s="34" t="inlineStr">
        <is>
          <t>Topic</t>
        </is>
      </c>
      <c r="B2" s="34" t="inlineStr">
        <is>
          <t>Caveat</t>
        </is>
      </c>
    </row>
    <row r="3">
      <c r="A3" s="35" t="inlineStr">
        <is>
          <t>No valuation recommendation</t>
        </is>
      </c>
      <c r="B3" s="35" t="inlineStr">
        <is>
          <t>The workbook shows dilution sensitivity only. It does not recommend a valuation cap.</t>
        </is>
      </c>
    </row>
    <row r="4">
      <c r="A4" s="35" t="inlineStr">
        <is>
          <t>No revenue forecast</t>
        </is>
      </c>
      <c r="B4" s="35" t="inlineStr">
        <is>
          <t>Reservation-pricing scenarios are qualification signals, not forecast revenue or valuation support.</t>
        </is>
      </c>
    </row>
    <row r="5">
      <c r="A5" s="33" t="inlineStr">
        <is>
          <t>No tape-out budget</t>
        </is>
      </c>
      <c r="B5" s="33" t="inlineStr">
        <is>
          <t>Pre-seed funds ASIC feasibility and quote-backed review, not production silicon.</t>
        </is>
      </c>
    </row>
    <row r="6">
      <c r="A6" s="33" t="inlineStr">
        <is>
          <t>No customer traction claim</t>
        </is>
      </c>
      <c r="B6" s="33" t="inlineStr">
        <is>
          <t>Do not claim signed customers, LOIs, or revenue unless signed evidence exists.</t>
        </is>
      </c>
    </row>
    <row r="7">
      <c r="A7" s="33" t="inlineStr">
        <is>
          <t>No outcome savings claim</t>
        </is>
      </c>
      <c r="B7" s="33" t="inlineStr">
        <is>
          <t>Battery, heat, cooling, water, footprint, and power-bill outcomes require workload-specific measurement.</t>
        </is>
      </c>
    </row>
    <row r="8">
      <c r="A8" s="33" t="inlineStr">
        <is>
          <t>CFO/counsel review</t>
        </is>
      </c>
      <c r="B8" s="33" t="inlineStr">
        <is>
          <t>SAFE terms, cap, discount, pro-rata rights, option pool, tax/accounting treatment, and closing mechanics require review.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2026-05-28T00:00:10Z</dcterms:created>
  <dcterms:modified xsi:type="dcterms:W3CDTF">2026-05-28T23:39:41Z</dcterms:modified>
</cp:coreProperties>
</file>